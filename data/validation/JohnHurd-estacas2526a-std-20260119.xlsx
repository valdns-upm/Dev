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scripciones" sheetId="1" state="visible" r:id="rId3"/>
    <sheet name="Estacas Hurd" sheetId="2" state="visible" r:id="rId4"/>
    <sheet name="Estacas Hurd mto. " sheetId="3" state="visible" r:id="rId5"/>
    <sheet name="Estacas Johnsons" sheetId="4" state="visible" r:id="rId6"/>
    <sheet name="Estacas Johnsons mto." sheetId="5" state="visible" r:id="rId7"/>
    <sheet name="RED PUNTOS CONTROL" sheetId="6" state="visible" r:id="rId8"/>
    <sheet name="CorrInclinSepult" sheetId="7" state="visible" r:id="rId9"/>
    <sheet name="Estacas Campo" sheetId="8" state="visible" r:id="rId10"/>
  </sheets>
  <definedNames>
    <definedName function="false" hidden="true" localSheetId="2" name="_xlnm._FilterDatabase" vbProcedure="false">'Estacas Hurd mto. '!$D$1:$D$79</definedName>
    <definedName function="false" hidden="true" localSheetId="4" name="_xlnm._FilterDatabase" vbProcedure="false">'Estacas Johnsons mto.'!$D$1:$D$79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ID#AAABJdNWpyM
     (2024-03-19 07:21:56)
Formato 20xx-20yy</t>
        </r>
      </text>
    </comment>
    <comment ref="C1" authorId="0">
      <text>
        <r>
          <rPr>
            <sz val="10"/>
            <rFont val="Arial"/>
            <family val="2"/>
          </rPr>
          <t xml:space="preserve">======
ID#AAABJdNWpv4
     (2024-03-19 07:21:56)
Indicador del orden secuencial (a, b, c, ...) de esta  tanda de medidas de estacas dentro de la campaña en curso</t>
        </r>
      </text>
    </comment>
    <comment ref="D2" authorId="0">
      <text>
        <r>
          <rPr>
            <sz val="10"/>
            <rFont val="Arial"/>
            <family val="2"/>
          </rPr>
          <t xml:space="preserve">======
ID#AAABJdNWptY
     (2024-03-19 07:21:56)
SÍ, si es una medida inmediatamente posterior a mantenimiento.
NO, en cualquier otro caso.
Dejar aquí como NO.</t>
        </r>
      </text>
    </comment>
    <comment ref="E1" authorId="0">
      <text>
        <r>
          <rPr>
            <sz val="10"/>
            <rFont val="Arial"/>
            <family val="2"/>
          </rPr>
          <t xml:space="preserve">======
ID#AAABJdNWprg
     (2024-03-19 07:21:56)
Nombre del operador</t>
        </r>
      </text>
    </comment>
    <comment ref="E2" authorId="0">
      <text>
        <r>
          <rPr>
            <sz val="10"/>
            <rFont val="Arial"/>
            <family val="2"/>
          </rPr>
          <t xml:space="preserve">======
ID#AAABJdNWpus
     (2024-03-19 07:21:56)
Sólo se rellena si Mto.=SÍ
(lo que sólo ocurre en hoja de mantenimiento asociada).</t>
        </r>
      </text>
    </comment>
    <comment ref="F2" authorId="0">
      <text>
        <r>
          <rPr>
            <sz val="10"/>
            <rFont val="Arial"/>
            <family val="2"/>
          </rPr>
          <t xml:space="preserve">======
ID#AAABJdNWpp0
     (2024-03-19 07:21:56)
Sólo se rellena si Mto.=SÍ
(lo que sólo ocurre en hoja de mantenimiento asociada).</t>
        </r>
      </text>
    </comment>
    <comment ref="G1" authorId="0">
      <text>
        <r>
          <rPr>
            <sz val="10"/>
            <rFont val="Arial"/>
            <family val="2"/>
          </rPr>
          <t xml:space="preserve">======
ID#AAABJdNWpvs
     (2024-03-19 07:21:56)
Marca y modelo de equipos base, rover y data controller.
E.g. Trimble 5700 (Base&amp;Rover) con Data Controller TSC2.</t>
        </r>
      </text>
    </comment>
    <comment ref="G2" authorId="0">
      <text>
        <r>
          <rPr>
            <sz val="10"/>
            <rFont val="Arial"/>
            <family val="2"/>
          </rPr>
          <t xml:space="preserve">======
ID#AAABJdNWpoU
     (2024-03-19 07:21:56)
Nombre del fichero fuente Trimble (.dc/.job) del que proviene la medida GPS.</t>
        </r>
      </text>
    </comment>
    <comment ref="H2" authorId="0">
      <text>
        <r>
          <rPr>
            <sz val="10"/>
            <rFont val="Arial"/>
            <family val="2"/>
          </rPr>
          <t xml:space="preserve">======
ID#AAABJdNWpvY
     (2024-03-19 07:21:56)
Easting UTM del punto de ubicación de antena DGPS.</t>
        </r>
      </text>
    </comment>
    <comment ref="I2" authorId="0">
      <text>
        <r>
          <rPr>
            <sz val="10"/>
            <rFont val="Arial"/>
            <family val="2"/>
          </rPr>
          <t xml:space="preserve">======
ID#AAABJdNWpqU
     (2024-03-19 07:21:56)
Northing UTM del punto de ubicación de antena DGPS.</t>
        </r>
      </text>
    </comment>
    <comment ref="J2" authorId="0">
      <text>
        <r>
          <rPr>
            <sz val="10"/>
            <rFont val="Arial"/>
            <family val="2"/>
          </rPr>
          <t xml:space="preserve">======
ID#AAABJdNWpsg
     (2024-03-19 07:21:56)
Altitud sobre elipsoide WGS84 del punto de ubicación de antena DGPS.</t>
        </r>
      </text>
    </comment>
    <comment ref="K2" authorId="0">
      <text>
        <r>
          <rPr>
            <sz val="10"/>
            <rFont val="Arial"/>
            <family val="2"/>
          </rPr>
          <t xml:space="preserve">======
ID#AAABJdNWpx8
Código (propio nuestro) punto DGPS    (2024-03-19 07:21:56)
RTK=Real Time Kinematics,
RTCM=Estándar de la "Radio Technical Commission for Maritime Services",
PP=Post-proceso.</t>
        </r>
      </text>
    </comment>
    <comment ref="L1" authorId="0">
      <text>
        <r>
          <rPr>
            <sz val="10"/>
            <rFont val="Arial"/>
            <family val="2"/>
          </rPr>
          <t xml:space="preserve">======
ID#AAABJdNWpug
     (2024-03-19 07:21:56)
Easting UTM, Northing UTM y altitud WGS84 de pto. referencia fijo (convenio propio).</t>
        </r>
      </text>
    </comment>
    <comment ref="L2" authorId="0">
      <text>
        <r>
          <rPr>
            <sz val="10"/>
            <rFont val="Arial"/>
            <family val="2"/>
          </rPr>
          <t xml:space="preserve">======
ID#AAABJdNWpxk
     (2024-03-19 07:21:56)
Altura de la base de la antena DGPS respecto al punto que se desea medir (en nuestro caso, la parte superior de la estaca de medida -sea la estaca real o la auxiliar).</t>
        </r>
      </text>
    </comment>
    <comment ref="M2" authorId="0">
      <text>
        <r>
          <rPr>
            <sz val="10"/>
            <rFont val="Arial"/>
            <family val="2"/>
          </rPr>
          <t xml:space="preserve">======
ID#AAABJdNWpuc
     (2024-03-19 07:21:56)
Easting UTM del punto base DGPS respecto al que se ha tomado la medida.</t>
        </r>
      </text>
    </comment>
    <comment ref="N2" authorId="0">
      <text>
        <r>
          <rPr>
            <sz val="10"/>
            <rFont val="Arial"/>
            <family val="2"/>
          </rPr>
          <t xml:space="preserve">======
ID#AAABJdNWpyE
     (2024-03-19 07:21:56)
Northing UTM del punto base DGPS respecto al que se ha tomado la medida.</t>
        </r>
      </text>
    </comment>
    <comment ref="O1" authorId="0">
      <text>
        <r>
          <rPr>
            <sz val="10"/>
            <rFont val="Arial"/>
            <family val="2"/>
          </rPr>
          <t xml:space="preserve">======
ID#AAABJdNWpuY
Paco    (2024-03-19 07:21:56)
Se restan 11 cm para equipararlas al histórico hasta la campaña 2014-15, que tenía Z0 11 cm por debajo del Zr habitual (el pto. ref. BAE).</t>
        </r>
      </text>
    </comment>
    <comment ref="O2" authorId="0">
      <text>
        <r>
          <rPr>
            <sz val="10"/>
            <rFont val="Arial"/>
            <family val="2"/>
          </rPr>
          <t xml:space="preserve">======
ID#AAABJdNWpuA
     (2024-03-19 07:21:56)
Altitud sobre el elipsoide WGS84 del punto base DGPS respecto al que se ha tomado la medida.</t>
        </r>
      </text>
    </comment>
    <comment ref="Q2" authorId="0">
      <text>
        <r>
          <rPr>
            <sz val="10"/>
            <rFont val="Arial"/>
            <family val="2"/>
          </rPr>
          <t xml:space="preserve">======
ID#AAABJdNWpyA
     (2024-03-19 07:21:56)
Distancia desde nivel de la superficie de la nieve hasta el extremo superior de la estaca real, esté vertical o inclinada (positivo para estaca que aflora; negativo para estaca hundida).</t>
        </r>
      </text>
    </comment>
    <comment ref="R2" authorId="0">
      <text>
        <r>
          <rPr>
            <sz val="10"/>
            <rFont val="Arial"/>
            <family val="2"/>
          </rPr>
          <t xml:space="preserve">======
ID#AAABJdNWppU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text>
        <r>
          <rPr>
            <sz val="10"/>
            <rFont val="Arial"/>
            <family val="2"/>
          </rPr>
          <t xml:space="preserve">======
ID#AAABJdNWprU
     (2024-03-19 07:21:56)
Ángulo de elevación (de 0 a 90º) de la estaca respecto a la horizontal. Es el complementario del ángulo cenital (o desviación respecto a la vertical).</t>
        </r>
      </text>
    </comment>
    <comment ref="T2" authorId="0">
      <text>
        <r>
          <rPr>
            <sz val="10"/>
            <rFont val="Arial"/>
            <family val="2"/>
          </rPr>
          <t xml:space="preserve">======
ID#AAABJdNWpww
     (2024-03-19 07:21:56)
Rumbo (0 a 360º) de la estaca inclinada, medido desde el norte magnético en sentido de las agujas del reloj (denominado retrógrado).</t>
        </r>
      </text>
    </comment>
    <comment ref="AM2" authorId="0">
      <text>
        <r>
          <rPr>
            <sz val="10"/>
            <rFont val="Arial"/>
            <family val="2"/>
          </rPr>
          <t xml:space="preserve">======
ID#AAABJdNWppM
     (2024-03-19 07:21:56)
Espesor medio de nieve junto a la estaca (medido con sonda de nieve).
Calculado como media de los valores en "H usados en media"
OJO: cambiar la fórmula (ojo con cociente) en función del número de valores relleno.</t>
        </r>
      </text>
    </comment>
    <comment ref="AN2" authorId="0">
      <text>
        <r>
          <rPr>
            <sz val="10"/>
            <rFont val="Arial"/>
            <family val="2"/>
          </rPr>
          <t xml:space="preserve">======
ID#AAABJdNWpxo
     (2024-03-19 07:21:56)
Longitud total de la estaca
(incluyendo parte enterrada).
Para estaca ampliada, sólo longitud del último tramo.
Sólo usar fórmula para estacas inclinadas en zona de ablación.</t>
        </r>
      </text>
    </comment>
    <comment ref="AP2" authorId="0">
      <text>
        <r>
          <rPr>
            <sz val="10"/>
            <rFont val="Arial"/>
            <family val="2"/>
          </rPr>
          <t xml:space="preserve">======
ID#AAABJdNWpyY
     (2024-03-19 07:21:56)
Nombres de ficheros de imagen asociados a esta medida (esquemas, fotos).</t>
        </r>
      </text>
    </comment>
    <comment ref="AQ2" authorId="0">
      <text>
        <r>
          <rPr>
            <sz val="10"/>
            <rFont val="Arial"/>
            <family val="2"/>
          </rPr>
          <t xml:space="preserve">======
ID#AAABJdNWpqM
     (2024-03-19 07:21:56)
Distancia desde el nivel de la superficie de la nieve hasta el extremo superior de la estaca vertical (si estuviera inclinada, tras devolverla virtualmente a la posición vertical).</t>
        </r>
      </text>
    </comment>
    <comment ref="AR2" authorId="0">
      <text>
        <r>
          <rPr>
            <sz val="10"/>
            <rFont val="Arial"/>
            <family val="2"/>
          </rPr>
          <t xml:space="preserve">======
ID#AAABJdNWptE
     (2024-03-19 07:21:56)
Easting UTM del extremo superior de la estaca.</t>
        </r>
      </text>
    </comment>
    <comment ref="AS2" authorId="0">
      <text>
        <r>
          <rPr>
            <sz val="10"/>
            <rFont val="Arial"/>
            <family val="2"/>
          </rPr>
          <t xml:space="preserve">======
ID#AAABJdNWppY
     (2024-03-19 07:21:56)
Northing UTM del extremo superior de la estaca.</t>
        </r>
      </text>
    </comment>
    <comment ref="AT2" authorId="0">
      <text>
        <r>
          <rPr>
            <sz val="10"/>
            <rFont val="Arial"/>
            <family val="2"/>
          </rPr>
          <t xml:space="preserve">======
ID#AAABJdNWpp8
     (2024-03-19 07:21:56)
Altitud sobre elipsoide WGS84 del extremo superior de la estaca.</t>
        </r>
      </text>
    </comment>
    <comment ref="AU2" authorId="0">
      <text>
        <r>
          <rPr>
            <sz val="10"/>
            <rFont val="Arial"/>
            <family val="2"/>
          </rPr>
          <t xml:space="preserve">======
ID#AAABJdNWpu4
     (2024-03-19 07:21:56)
¿Medida en cuarentena?
Especificar SÍ si se tiene alguna duda sobre la exactitud de la medida.
De ser así, especificar en celda de comentarios la razón de la duda.</t>
        </r>
      </text>
    </comment>
    <comment ref="AX2" authorId="0">
      <text>
        <r>
          <rPr>
            <sz val="10"/>
            <rFont val="Arial"/>
            <family val="2"/>
          </rPr>
          <t xml:space="preserve">======
ID#AAABJdNWpw4
     (2024-03-19 07:21:56)
Ángulo de inclinación (de 0 a 90º) de la superficie del glaciar en la dirección de inclinación de la estaca. Negativo si inclinación de la estaca en dirección pendiente arriba.</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ID#AAABJdNWptM
     (2024-03-19 07:21:56)
Formato 20xx-20yy</t>
        </r>
      </text>
    </comment>
    <comment ref="B2" authorId="0">
      <text>
        <r>
          <rPr>
            <sz val="10"/>
            <rFont val="Arial"/>
            <family val="2"/>
          </rPr>
          <t xml:space="preserve">======
ID#AAABJdNWprw
     (2024-03-19 07:21:56)
Fecha de la medida inmediatamente posterior al mantenimiento.</t>
        </r>
      </text>
    </comment>
    <comment ref="C1" authorId="0">
      <text>
        <r>
          <rPr>
            <sz val="10"/>
            <rFont val="Arial"/>
            <family val="2"/>
          </rPr>
          <t xml:space="preserve">======
ID#AAABJdNWpos
     (2024-03-19 07:21:56)
Indicador del orden secuencial (a, b, c, ...) de esta  tanda de medidas de estacas dentro de la campaña en curso</t>
        </r>
      </text>
    </comment>
    <comment ref="C2" authorId="0">
      <text>
        <r>
          <rPr>
            <sz val="10"/>
            <rFont val="Arial"/>
            <family val="2"/>
          </rPr>
          <t xml:space="preserve">======
ID#AAABJdNWppw
     (2024-03-19 07:21:56)
Hora de la medida inmediatamente posterior al mantenimiento.</t>
        </r>
      </text>
    </comment>
    <comment ref="D2" authorId="0">
      <text>
        <r>
          <rPr>
            <sz val="10"/>
            <rFont val="Arial"/>
            <family val="2"/>
          </rPr>
          <t xml:space="preserve">======
ID#AAABJdNWpqA
     (2024-03-19 07:21:56)
Dejar SÍ, si se trata de una medida inmediatamente posterior a mantenimiento.
En caso contrario (fila vacía de datos), borrar el SÍ.</t>
        </r>
      </text>
    </comment>
    <comment ref="E1" authorId="0">
      <text>
        <r>
          <rPr>
            <sz val="10"/>
            <rFont val="Arial"/>
            <family val="2"/>
          </rPr>
          <t xml:space="preserve">======
ID#AAABJdNWpxY
     (2024-03-19 07:21:56)
Nombre del operador</t>
        </r>
      </text>
    </comment>
    <comment ref="E2" authorId="0">
      <text>
        <r>
          <rPr>
            <sz val="10"/>
            <rFont val="Arial"/>
            <family val="2"/>
          </rPr>
          <t xml:space="preserve">======
ID#AAABJdNWprc
     (2024-03-19 07:21:56)
Sólo rellenar si Mto.=Sí
Fecha de la medida previa al mantenimiento, en hoja  asociada.</t>
        </r>
      </text>
    </comment>
    <comment ref="F2" authorId="0">
      <text>
        <r>
          <rPr>
            <sz val="10"/>
            <rFont val="Arial"/>
            <family val="2"/>
          </rPr>
          <t xml:space="preserve">======
ID#AAABJdNWpyQ
     (2024-03-19 07:21:56)
Sólo rellenar si Mto.=Sí
Hora de la medida previa al mantenimiento, en hoja  asociada.</t>
        </r>
      </text>
    </comment>
    <comment ref="G1" authorId="0">
      <text>
        <r>
          <rPr>
            <sz val="10"/>
            <rFont val="Arial"/>
            <family val="2"/>
          </rPr>
          <t xml:space="preserve">======
ID#AAABJdNWpwk
     (2024-03-19 07:21:56)
Marca y modelo de equipos base, rover y data controller.
E.g. Trimble 5700 (Base&amp;Rover) con Data Controller TSC2.</t>
        </r>
      </text>
    </comment>
    <comment ref="G2" authorId="0">
      <text>
        <r>
          <rPr>
            <sz val="10"/>
            <rFont val="Arial"/>
            <family val="2"/>
          </rPr>
          <t xml:space="preserve">======
ID#AAABJdNWpyg
     (2024-03-19 07:21:56)
Nombre del fichero fuente Trimble (.dc/.job) del que proviene la medida GPS.</t>
        </r>
      </text>
    </comment>
    <comment ref="H2" authorId="0">
      <text>
        <r>
          <rPr>
            <sz val="10"/>
            <rFont val="Arial"/>
            <family val="2"/>
          </rPr>
          <t xml:space="preserve">======
ID#AAABJdNWpsY
     (2024-03-19 07:21:56)
Easting UTM del punto de ubicación de antena DGPS.</t>
        </r>
      </text>
    </comment>
    <comment ref="I2" authorId="0">
      <text>
        <r>
          <rPr>
            <sz val="10"/>
            <rFont val="Arial"/>
            <family val="2"/>
          </rPr>
          <t xml:space="preserve">======
ID#AAABJdNWpqY
     (2024-03-19 07:21:56)
Northing UTM del punto de ubicación de antena DGPS.</t>
        </r>
      </text>
    </comment>
    <comment ref="J2" authorId="0">
      <text>
        <r>
          <rPr>
            <sz val="10"/>
            <rFont val="Arial"/>
            <family val="2"/>
          </rPr>
          <t xml:space="preserve">======
ID#AAABJdNWppQ
     (2024-03-19 07:21:56)
Altitud sobre elipsoide WGS84 del punto de ubicación de antena DGPS.</t>
        </r>
      </text>
    </comment>
    <comment ref="K2" authorId="0">
      <text>
        <r>
          <rPr>
            <sz val="10"/>
            <rFont val="Arial"/>
            <family val="2"/>
          </rPr>
          <t xml:space="preserve">======
ID#AAABJdNWpps
Código (propio nuestro) punto DGPS    (2024-03-19 07:21:56)
RTK=Real Time Kinematics,
RTCM=Estándar de la "Radio Technical Commission for Maritime Services",
PP=Post-proceso.</t>
        </r>
      </text>
    </comment>
    <comment ref="L1" authorId="0">
      <text>
        <r>
          <rPr>
            <sz val="10"/>
            <rFont val="Arial"/>
            <family val="2"/>
          </rPr>
          <t xml:space="preserve">======
ID#AAABJdNWpxs
     (2024-03-19 07:21:56)
Easting UTM, Northing UTM y altitud WGS84 de pto. referencia fijo (convenio propio).</t>
        </r>
      </text>
    </comment>
    <comment ref="L2" authorId="0">
      <text>
        <r>
          <rPr>
            <sz val="10"/>
            <rFont val="Arial"/>
            <family val="2"/>
          </rPr>
          <t xml:space="preserve">======
ID#AAABJdNWptk
     (2024-03-19 07:21:56)
Altura de la base de la antena DGPS respecto al punto que se desea medir (en nuestro caso, la parte superior de la estaca de medida -sea la estaca real o la auxiliar).</t>
        </r>
      </text>
    </comment>
    <comment ref="M2" authorId="0">
      <text>
        <r>
          <rPr>
            <sz val="10"/>
            <rFont val="Arial"/>
            <family val="2"/>
          </rPr>
          <t xml:space="preserve">======
ID#AAABJdNWpqk
     (2024-03-19 07:21:56)
Easting UTM del punto base DGPS respecto al que se ha tomado la medida.</t>
        </r>
      </text>
    </comment>
    <comment ref="N2" authorId="0">
      <text>
        <r>
          <rPr>
            <sz val="10"/>
            <rFont val="Arial"/>
            <family val="2"/>
          </rPr>
          <t xml:space="preserve">======
ID#AAABJdNWpq8
     (2024-03-19 07:21:56)
Northing UTM del punto base DGPS respecto al que se ha tomado la medida.</t>
        </r>
      </text>
    </comment>
    <comment ref="O1" authorId="0">
      <text>
        <r>
          <rPr>
            <sz val="10"/>
            <rFont val="Arial"/>
            <family val="2"/>
          </rPr>
          <t xml:space="preserve">======
ID#AAABJdNWpxE
Paco    (2024-03-19 07:21:56)
Se restan 11 cm para equipararlas al histórico hasta la campaña 2014-15, que tenía Z0 11 cm por debajo del Zr habitual (el pto. ref. BAE).</t>
        </r>
      </text>
    </comment>
    <comment ref="O2" authorId="0">
      <text>
        <r>
          <rPr>
            <sz val="10"/>
            <rFont val="Arial"/>
            <family val="2"/>
          </rPr>
          <t xml:space="preserve">======
ID#AAABJdNWpv8
     (2024-03-19 07:21:56)
Altitud sobre el elipsoide WGS84 del punto base DGPS respecto al que se ha tomado la medida.</t>
        </r>
      </text>
    </comment>
    <comment ref="Q2" authorId="0">
      <text>
        <r>
          <rPr>
            <sz val="10"/>
            <rFont val="Arial"/>
            <family val="2"/>
          </rPr>
          <t xml:space="preserve">======
ID#AAABJdNWpws
     (2024-03-19 07:21:56)
Distancia desde nivel de la superficie de la nieve hasta el extremo superior de la estaca real, esté vertical o inclinada (positivo para estaca que aflora; negativo para estaca hundida).</t>
        </r>
      </text>
    </comment>
    <comment ref="R2" authorId="0">
      <text>
        <r>
          <rPr>
            <sz val="10"/>
            <rFont val="Arial"/>
            <family val="2"/>
          </rPr>
          <t xml:space="preserve">======
ID#AAABJdNWpvg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text>
        <r>
          <rPr>
            <sz val="10"/>
            <rFont val="Arial"/>
            <family val="2"/>
          </rPr>
          <t xml:space="preserve">======
ID#AAABJdNWpsc
     (2024-03-19 07:21:56)
Ángulo de elevación (de 0 a 90º) de la estaca respecto a la horizontal. Es el complementario del ángulo cenital (o desviación respecto a la vertical).</t>
        </r>
      </text>
    </comment>
    <comment ref="T2" authorId="0">
      <text>
        <r>
          <rPr>
            <sz val="10"/>
            <rFont val="Arial"/>
            <family val="2"/>
          </rPr>
          <t xml:space="preserve">======
ID#AAABJdNWpro
     (2024-03-19 07:21:56)
Rumbo (0 a 360º) de la estaca inclinada, medido desde el norte magnético en sentido de las agujas del reloj (denominado retrógrado).</t>
        </r>
      </text>
    </comment>
    <comment ref="AM2" authorId="0">
      <text>
        <r>
          <rPr>
            <sz val="10"/>
            <rFont val="Arial"/>
            <family val="2"/>
          </rPr>
          <t xml:space="preserve">======
ID#AAABJdNWpwI
     (2024-03-19 07:21:56)
Espesor medio de nieve junto a la estaca (medido con sonda de nieve).
Calculado como media de los valores en "H usados en media"
OJO: cambiar la fórmula (ojo con cociente) en función del número de valores relleno.</t>
        </r>
      </text>
    </comment>
    <comment ref="AN2" authorId="0">
      <text>
        <r>
          <rPr>
            <sz val="10"/>
            <rFont val="Arial"/>
            <family val="2"/>
          </rPr>
          <t xml:space="preserve">======
ID#AAABJdNWppI
     (2024-03-19 07:21:56)
Longitud total de la estaca
(incluyendo parte enterrada).
Para estaca ampliada, sólo longitud del último tramo.
Sólo usar fórmula para estacas inclinadas en zona de ablación.</t>
        </r>
      </text>
    </comment>
    <comment ref="AP2" authorId="0">
      <text>
        <r>
          <rPr>
            <sz val="10"/>
            <rFont val="Arial"/>
            <family val="2"/>
          </rPr>
          <t xml:space="preserve">======
ID#AAABJdNWpw8
     (2024-03-19 07:21:56)
Nombres de ficheros de imagen asociados a esta medida (esquemas, fotos).</t>
        </r>
      </text>
    </comment>
    <comment ref="AQ2" authorId="0">
      <text>
        <r>
          <rPr>
            <sz val="10"/>
            <rFont val="Arial"/>
            <family val="2"/>
          </rPr>
          <t xml:space="preserve">======
ID#AAABJdNWpo4
     (2024-03-19 07:21:56)
Distancia desde el nivel de la superficie de la nieve hasta el extremo superior de la estaca vertical (si estuviera inclinada, tras devolverla virtualmente a la posición vertical).</t>
        </r>
      </text>
    </comment>
    <comment ref="AR2" authorId="0">
      <text>
        <r>
          <rPr>
            <sz val="10"/>
            <rFont val="Arial"/>
            <family val="2"/>
          </rPr>
          <t xml:space="preserve">======
ID#AAABJdNWpuM
     (2024-03-19 07:21:56)
Easting UTM del extremo superior de la estaca.</t>
        </r>
      </text>
    </comment>
    <comment ref="AS2" authorId="0">
      <text>
        <r>
          <rPr>
            <sz val="10"/>
            <rFont val="Arial"/>
            <family val="2"/>
          </rPr>
          <t xml:space="preserve">======
ID#AAABJdNWprA
     (2024-03-19 07:21:56)
Northing UTM del extremo superior de la estaca.</t>
        </r>
      </text>
    </comment>
    <comment ref="AT2" authorId="0">
      <text>
        <r>
          <rPr>
            <sz val="10"/>
            <rFont val="Arial"/>
            <family val="2"/>
          </rPr>
          <t xml:space="preserve">======
ID#AAABJdNWpxI
     (2024-03-19 07:21:56)
Altitud sobre elipsoide WGS84 del extremo superior de la estaca.</t>
        </r>
      </text>
    </comment>
    <comment ref="AU2" authorId="0">
      <text>
        <r>
          <rPr>
            <sz val="10"/>
            <rFont val="Arial"/>
            <family val="2"/>
          </rPr>
          <t xml:space="preserve">======
ID#AAABJdNWpoI
     (2024-03-19 07:21:56)
¿Medida en cuarentena?
Especificar SÍ si se tiene alguna duda sobre la exactitud de la medida.
De ser así, especificar en celda de comentarios la razón de la duda.</t>
        </r>
      </text>
    </comment>
    <comment ref="AW2" authorId="0">
      <text>
        <r>
          <rPr>
            <sz val="10"/>
            <rFont val="Arial"/>
            <family val="2"/>
          </rPr>
          <t xml:space="preserve">======
ID#AAABJdNWpu8
     (2024-03-19 07:21:56)
Delta_h=h_después-h_antes, cambio de la longitud de la estaca (positivo, si extensión; negativo, si replantado).
Sólo se calcula en la hoja de mantenimiento.</t>
        </r>
      </text>
    </comment>
    <comment ref="AX2" authorId="0">
      <text>
        <r>
          <rPr>
            <sz val="10"/>
            <rFont val="Arial"/>
            <family val="2"/>
          </rPr>
          <t xml:space="preserve">======
ID#AAABJdNWptA
     (2024-03-19 07:21:56)
Ángulo de inclinación (de 0 a 90º) de la superficie del glaciar en la dirección de inclinación de la estaca. Negativo si inclinación de la estaca en dirección pendiente arriba.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ID#AAABJdNWpq4
     (2024-03-19 07:21:56)
Formato 20xx-20yy</t>
        </r>
      </text>
    </comment>
    <comment ref="A5" authorId="0">
      <text>
        <r>
          <rPr>
            <sz val="10"/>
            <rFont val="Arial"/>
            <family val="2"/>
          </rPr>
          <t xml:space="preserve">======
ID#AAABJdNWppE
     (2024-03-19 07:21:56)
EJ01=EH01 (ver allí)</t>
        </r>
      </text>
    </comment>
    <comment ref="C1" authorId="0">
      <text>
        <r>
          <rPr>
            <sz val="10"/>
            <rFont val="Arial"/>
            <family val="2"/>
          </rPr>
          <t xml:space="preserve">======
ID#AAABJdNWpuQ
     (2024-03-19 07:21:56)
Indicador del orden secuencial (a, b, c, ...) de esta  tanda de medidas de estacas dentro de la campaña en curso</t>
        </r>
      </text>
    </comment>
    <comment ref="D2" authorId="0">
      <text>
        <r>
          <rPr>
            <sz val="10"/>
            <rFont val="Arial"/>
            <family val="2"/>
          </rPr>
          <t xml:space="preserve">======
ID#AAABJdNWpuE
     (2024-03-19 07:21:56)
SÍ, si es una medida inmediatamente posterior a mantenimiento.
NO, en cualquier otro caso.
Dejar aquí como NO.</t>
        </r>
      </text>
    </comment>
    <comment ref="E1" authorId="0">
      <text>
        <r>
          <rPr>
            <sz val="10"/>
            <rFont val="Arial"/>
            <family val="2"/>
          </rPr>
          <t xml:space="preserve">======
ID#AAABJdNWps0
     (2024-03-19 07:21:56)
Nombre del operador</t>
        </r>
      </text>
    </comment>
    <comment ref="E2" authorId="0">
      <text>
        <r>
          <rPr>
            <sz val="10"/>
            <rFont val="Arial"/>
            <family val="2"/>
          </rPr>
          <t xml:space="preserve">======
ID#AAABJdNWpyU
     (2024-03-19 07:21:56)
Sólo se rellena si Mto.=SÍ
(lo que sólo ocurre en hoja de mantenimiento asociada).</t>
        </r>
      </text>
    </comment>
    <comment ref="F2" authorId="0">
      <text>
        <r>
          <rPr>
            <sz val="10"/>
            <rFont val="Arial"/>
            <family val="2"/>
          </rPr>
          <t xml:space="preserve">======
ID#AAABJdNWpxc
     (2024-03-19 07:21:56)
Sólo se rellena si Mto.=SÍ
(lo que sólo ocurre en hoja de mantenimiento asociada).</t>
        </r>
      </text>
    </comment>
    <comment ref="G1" authorId="0">
      <text>
        <r>
          <rPr>
            <sz val="10"/>
            <rFont val="Arial"/>
            <family val="2"/>
          </rPr>
          <t xml:space="preserve">======
ID#AAABJdNWpvM
     (2024-03-19 07:21:56)
Marca y modelo de equipos base, rover y data controller.
E.g. Trimble 5700 (Base&amp;Rover) con Data Controller TSC2.</t>
        </r>
      </text>
    </comment>
    <comment ref="G2" authorId="0">
      <text>
        <r>
          <rPr>
            <sz val="10"/>
            <rFont val="Arial"/>
            <family val="2"/>
          </rPr>
          <t xml:space="preserve">======
ID#AAABJdNWpxA
     (2024-03-19 07:21:56)
Nombre del fichero fuente Trimble (.dc/.job) del que proviene la medida GPS.</t>
        </r>
      </text>
    </comment>
    <comment ref="H2" authorId="0">
      <text>
        <r>
          <rPr>
            <sz val="10"/>
            <rFont val="Arial"/>
            <family val="2"/>
          </rPr>
          <t xml:space="preserve">======
ID#AAABJdNWppc
     (2024-03-19 07:21:56)
Easting UTM del punto de ubicación de antena DGPS.</t>
        </r>
      </text>
    </comment>
    <comment ref="I2" authorId="0">
      <text>
        <r>
          <rPr>
            <sz val="10"/>
            <rFont val="Arial"/>
            <family val="2"/>
          </rPr>
          <t xml:space="preserve">======
ID#AAABJdNWpo0
     (2024-03-19 07:21:56)
Northing UTM del punto de ubicación de antena DGPS.</t>
        </r>
      </text>
    </comment>
    <comment ref="J2" authorId="0">
      <text>
        <r>
          <rPr>
            <sz val="10"/>
            <rFont val="Arial"/>
            <family val="2"/>
          </rPr>
          <t xml:space="preserve">======
ID#AAABJdNWpvA
     (2024-03-19 07:21:56)
Altitud sobre elipsoide WGS84 del punto de ubicación de antena DGPS.</t>
        </r>
      </text>
    </comment>
    <comment ref="K2" authorId="0">
      <text>
        <r>
          <rPr>
            <sz val="10"/>
            <rFont val="Arial"/>
            <family val="2"/>
          </rPr>
          <t xml:space="preserve">======
ID#AAABJdNWpsk
Código (propio nuestro) punto DGPS    (2024-03-19 07:21:56)
RTK=Real Time Kinematics,
RTCM=Estándar de la "Radio Technical Commission for Maritime Services",
PP=Post-proceso.</t>
        </r>
      </text>
    </comment>
    <comment ref="L1" authorId="0">
      <text>
        <r>
          <rPr>
            <sz val="10"/>
            <rFont val="Arial"/>
            <family val="2"/>
          </rPr>
          <t xml:space="preserve">======
ID#AAABJdNWpvk
     (2024-03-19 07:21:56)
Easting UTM, Northing UTM y altitud WGS84 de pto. referencia fijo (convenio propio).</t>
        </r>
      </text>
    </comment>
    <comment ref="L2" authorId="0">
      <text>
        <r>
          <rPr>
            <sz val="10"/>
            <rFont val="Arial"/>
            <family val="2"/>
          </rPr>
          <t xml:space="preserve">======
ID#AAABJdNWpuk
     (2024-03-19 07:21:56)
Altura de la base de la antena DGPS respecto al punto que se desea medir (en nuestro caso, la parte superior de la estaca de medida -sea la estaca real o la auxiliar).</t>
        </r>
      </text>
    </comment>
    <comment ref="M2" authorId="0">
      <text>
        <r>
          <rPr>
            <sz val="10"/>
            <rFont val="Arial"/>
            <family val="2"/>
          </rPr>
          <t xml:space="preserve">======
ID#AAABJdNWpwM
     (2024-03-19 07:21:56)
Easting UTM del punto base DGPS respecto al que se ha tomado la medida.</t>
        </r>
      </text>
    </comment>
    <comment ref="N2" authorId="0">
      <text>
        <r>
          <rPr>
            <sz val="10"/>
            <rFont val="Arial"/>
            <family val="2"/>
          </rPr>
          <t xml:space="preserve">======
ID#AAABJdNWpoQ
     (2024-03-19 07:21:56)
Northing UTM del punto base DGPS respecto al que se ha tomado la medida.</t>
        </r>
      </text>
    </comment>
    <comment ref="O1" authorId="0">
      <text>
        <r>
          <rPr>
            <sz val="10"/>
            <rFont val="Arial"/>
            <family val="2"/>
          </rPr>
          <t xml:space="preserve">======
ID#AAABJdNWpsw
Paco    (2024-03-19 07:21:56)
Se restan 11 cm para equipararlas al histórico hasta la campaña 2014-15, que tenía Z0 11 cm por debajo del Zr habitual (el pto. ref. BAE).</t>
        </r>
      </text>
    </comment>
    <comment ref="O2" authorId="0">
      <text>
        <r>
          <rPr>
            <sz val="10"/>
            <rFont val="Arial"/>
            <family val="2"/>
          </rPr>
          <t xml:space="preserve">======
ID#AAABJdNWpwA
     (2024-03-19 07:21:56)
Altitud sobre el elipsoide WGS84 del punto base DGPS respecto al que se ha tomado la medida.</t>
        </r>
      </text>
    </comment>
    <comment ref="Q2" authorId="0">
      <text>
        <r>
          <rPr>
            <sz val="10"/>
            <rFont val="Arial"/>
            <family val="2"/>
          </rPr>
          <t xml:space="preserve">======
ID#AAABJdNWpoc
     (2024-03-19 07:21:56)
Distancia desde nivel de la superficie de la nieve hasta el extremo superior de la estaca real, esté vertical o inclinada (positivo para estaca que aflora; negativo para estaca hundida).</t>
        </r>
      </text>
    </comment>
    <comment ref="R2" authorId="0">
      <text>
        <r>
          <rPr>
            <sz val="10"/>
            <rFont val="Arial"/>
            <family val="2"/>
          </rPr>
          <t xml:space="preserve">======
ID#AAABJdNWppo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text>
        <r>
          <rPr>
            <sz val="10"/>
            <rFont val="Arial"/>
            <family val="2"/>
          </rPr>
          <t xml:space="preserve">======
ID#AAABJdNWpso
     (2024-03-19 07:21:56)
Ángulo de elevación (de 0 a 90º) de la estaca respecto a la horizontal. Es el complementario del ángulo cenital (o desviación respecto a la vertical).</t>
        </r>
      </text>
    </comment>
    <comment ref="T2" authorId="0">
      <text>
        <r>
          <rPr>
            <sz val="10"/>
            <rFont val="Arial"/>
            <family val="2"/>
          </rPr>
          <t xml:space="preserve">======
ID#AAABJdNWpuo
     (2024-03-19 07:21:56)
Rumbo (0 a 360º) de la estaca inclinada, medido desde el norte magnético en sentido de las agujas del reloj (denominado retrógrado).</t>
        </r>
      </text>
    </comment>
    <comment ref="AM2" authorId="0">
      <text>
        <r>
          <rPr>
            <sz val="10"/>
            <rFont val="Arial"/>
            <family val="2"/>
          </rPr>
          <t xml:space="preserve">======
ID#AAABJdNWpvI
     (2024-03-19 07:21:56)
Espesor medio de nieve junto a la estaca (medido con sonda de nieve).
Calculado como media de los valores en "H usados en media"
OJO: cambiar la fórmula (ojo con cociente) en función del número de valores relleno.</t>
        </r>
      </text>
    </comment>
    <comment ref="AN2" authorId="0">
      <text>
        <r>
          <rPr>
            <sz val="10"/>
            <rFont val="Arial"/>
            <family val="2"/>
          </rPr>
          <t xml:space="preserve">======
ID#AAABJdNWpt8
     (2024-03-19 07:21:56)
Longitud total de la estaca
(incluyendo parte enterrada).
Para estaca ampliada, sólo longitud del último tramo.
Sólo usar fórmula para estacas inclinadas en zona de ablación.</t>
        </r>
      </text>
    </comment>
    <comment ref="AP2" authorId="0">
      <text>
        <r>
          <rPr>
            <sz val="10"/>
            <rFont val="Arial"/>
            <family val="2"/>
          </rPr>
          <t xml:space="preserve">======
ID#AAABJdNWprs
     (2024-03-19 07:21:56)
Nombres de ficheros de imagen asociados a esta medida (esquemas, fotos).</t>
        </r>
      </text>
    </comment>
    <comment ref="AQ2" authorId="0">
      <text>
        <r>
          <rPr>
            <sz val="10"/>
            <rFont val="Arial"/>
            <family val="2"/>
          </rPr>
          <t xml:space="preserve">======
ID#AAABJdNWpuw
     (2024-03-19 07:21:56)
Distancia desde el nivel de la superficie de la nieve hasta el extremo superior de la estaca vertical (si estuviera inclinada, tras devolverla virtualmente a la posición vertical).</t>
        </r>
      </text>
    </comment>
    <comment ref="AR2" authorId="0">
      <text>
        <r>
          <rPr>
            <sz val="10"/>
            <rFont val="Arial"/>
            <family val="2"/>
          </rPr>
          <t xml:space="preserve">======
ID#AAABJdNWpow
     (2024-03-19 07:21:56)
Easting UTM del extremo superior de la estaca.</t>
        </r>
      </text>
    </comment>
    <comment ref="AS2" authorId="0">
      <text>
        <r>
          <rPr>
            <sz val="10"/>
            <rFont val="Arial"/>
            <family val="2"/>
          </rPr>
          <t xml:space="preserve">======
ID#AAABJdNWpp4
     (2024-03-19 07:21:56)
Northing UTM del extremo superior de la estaca.</t>
        </r>
      </text>
    </comment>
    <comment ref="AT2" authorId="0">
      <text>
        <r>
          <rPr>
            <sz val="10"/>
            <rFont val="Arial"/>
            <family val="2"/>
          </rPr>
          <t xml:space="preserve">======
ID#AAABJdNWpqc
     (2024-03-19 07:21:56)
Altitud sobre elipsoide WGS84 del extremo superior de la estaca.</t>
        </r>
      </text>
    </comment>
    <comment ref="AU2" authorId="0">
      <text>
        <r>
          <rPr>
            <sz val="10"/>
            <rFont val="Arial"/>
            <family val="2"/>
          </rPr>
          <t xml:space="preserve">======
ID#AAABJdNWprM
     (2024-03-19 07:21:56)
¿Medida en cuarentena?
Especificar SÍ si se tiene alguna duda sobre la exactitud de la medida.
De ser así, especificar en celda de comentarios la razón de la duda.</t>
        </r>
      </text>
    </comment>
    <comment ref="AX2" authorId="0">
      <text>
        <r>
          <rPr>
            <sz val="10"/>
            <rFont val="Arial"/>
            <family val="2"/>
          </rPr>
          <t xml:space="preserve">======
ID#AAABJdNWprI
     (2024-03-19 07:21:56)
Ángulo de inclinación (de 0 a 90º) de la superficie del glaciar en la dirección de inclinación de la estaca. Negativo si inclinación de la estaca en dirección pendiente arriba.</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ID#AAABJdNWpyk
     (2024-03-19 07:21:56)
Formato 20xx-20yy</t>
        </r>
      </text>
    </comment>
    <comment ref="A5" authorId="0">
      <text>
        <r>
          <rPr>
            <sz val="10"/>
            <rFont val="Arial"/>
            <family val="2"/>
          </rPr>
          <t xml:space="preserve">======
ID#AAABJdNWpqs
     (2024-03-19 07:21:56)
EJ01=EH01 (ver allí)</t>
        </r>
      </text>
    </comment>
    <comment ref="B2" authorId="0">
      <text>
        <r>
          <rPr>
            <sz val="10"/>
            <rFont val="Arial"/>
            <family val="2"/>
          </rPr>
          <t xml:space="preserve">======
ID#AAABJdNWpqg
     (2024-03-19 07:21:56)
Fecha de la medida inmediatamente posterior al mantenimiento.</t>
        </r>
      </text>
    </comment>
    <comment ref="C1" authorId="0">
      <text>
        <r>
          <rPr>
            <sz val="10"/>
            <rFont val="Arial"/>
            <family val="2"/>
          </rPr>
          <t xml:space="preserve">======
ID#AAABJdNWpvo
     (2024-03-19 07:21:56)
Indicador del orden secuencial (a, b, c, ...) de esta  tanda de medidas de estacas dentro de la campaña en curso</t>
        </r>
      </text>
    </comment>
    <comment ref="C2" authorId="0">
      <text>
        <r>
          <rPr>
            <sz val="10"/>
            <rFont val="Arial"/>
            <family val="2"/>
          </rPr>
          <t xml:space="preserve">======
ID#AAABJdNWpoM
     (2024-03-19 07:21:56)
Hora de la medida inmediatamente posterior al mantenimiento.</t>
        </r>
      </text>
    </comment>
    <comment ref="D2" authorId="0">
      <text>
        <r>
          <rPr>
            <sz val="10"/>
            <rFont val="Arial"/>
            <family val="2"/>
          </rPr>
          <t xml:space="preserve">======
ID#AAABJdNWpv0
     (2024-03-19 07:21:56)
Dejar SÍ, si se trata de una medida inmediatamente posterior a mantenimiento.
En caso contrario (fila vacía de datos), borrar el SÍ.</t>
        </r>
      </text>
    </comment>
    <comment ref="E1" authorId="0">
      <text>
        <r>
          <rPr>
            <sz val="10"/>
            <rFont val="Arial"/>
            <family val="2"/>
          </rPr>
          <t xml:space="preserve">======
ID#AAABJdNWpqo
     (2024-03-19 07:21:56)
Nombre del operador</t>
        </r>
      </text>
    </comment>
    <comment ref="E2" authorId="0">
      <text>
        <r>
          <rPr>
            <sz val="10"/>
            <rFont val="Arial"/>
            <family val="2"/>
          </rPr>
          <t xml:space="preserve">======
ID#AAABJdNWpsM
     (2024-03-19 07:21:56)
Sólo rellenar si Mto.=Sí
Fecha de la medida previa al mantenimiento, en hoja  asociada.</t>
        </r>
      </text>
    </comment>
    <comment ref="F2" authorId="0">
      <text>
        <r>
          <rPr>
            <sz val="10"/>
            <rFont val="Arial"/>
            <family val="2"/>
          </rPr>
          <t xml:space="preserve">======
ID#AAABJdNWpuU
     (2024-03-19 07:21:56)
Sólo rellenar si Mto.=Sí
Hora de la medida previa al mantenimiento, en hoja  asociada.</t>
        </r>
      </text>
    </comment>
    <comment ref="G1" authorId="0">
      <text>
        <r>
          <rPr>
            <sz val="10"/>
            <rFont val="Arial"/>
            <family val="2"/>
          </rPr>
          <t xml:space="preserve">======
ID#AAABJdNWprk
     (2024-03-19 07:21:56)
Marca y modelo de equipos base, rover y data controller.
E.g. Trimble 5700 (Base&amp;Rover) con Data Controller TSC2.</t>
        </r>
      </text>
    </comment>
    <comment ref="G2" authorId="0">
      <text>
        <r>
          <rPr>
            <sz val="10"/>
            <rFont val="Arial"/>
            <family val="2"/>
          </rPr>
          <t xml:space="preserve">======
ID#AAABJdNWpxg
     (2024-03-19 07:21:56)
Nombre del fichero fuente Trimble (.dc/.job) del que proviene la medida GPS.</t>
        </r>
      </text>
    </comment>
    <comment ref="H2" authorId="0">
      <text>
        <r>
          <rPr>
            <sz val="10"/>
            <rFont val="Arial"/>
            <family val="2"/>
          </rPr>
          <t xml:space="preserve">======
ID#AAABJdNWpo8
     (2024-03-19 07:21:56)
Easting UTM del punto de ubicación de antena DGPS.</t>
        </r>
      </text>
    </comment>
    <comment ref="I2" authorId="0">
      <text>
        <r>
          <rPr>
            <sz val="10"/>
            <rFont val="Arial"/>
            <family val="2"/>
          </rPr>
          <t xml:space="preserve">======
ID#AAABJdNWpoE
     (2024-03-19 07:21:56)
Northing UTM del punto de ubicación de antena DGPS.</t>
        </r>
      </text>
    </comment>
    <comment ref="J2" authorId="0">
      <text>
        <r>
          <rPr>
            <sz val="10"/>
            <rFont val="Arial"/>
            <family val="2"/>
          </rPr>
          <t xml:space="preserve">======
ID#AAABJdNWps8
     (2024-03-19 07:21:56)
Altitud sobre elipsoide WGS84 del punto de ubicación de antena DGPS.</t>
        </r>
      </text>
    </comment>
    <comment ref="K2" authorId="0">
      <text>
        <r>
          <rPr>
            <sz val="10"/>
            <rFont val="Arial"/>
            <family val="2"/>
          </rPr>
          <t xml:space="preserve">======
ID#AAABJdNWpx4
Código (propio nuestro) punto DGPS    (2024-03-19 07:21:56)
RTK=Real Time Kinematics,
RTCM=Estándar de la "Radio Technical Commission for Maritime Services",
PP=Post-proceso.</t>
        </r>
      </text>
    </comment>
    <comment ref="L1" authorId="0">
      <text>
        <r>
          <rPr>
            <sz val="10"/>
            <rFont val="Arial"/>
            <family val="2"/>
          </rPr>
          <t xml:space="preserve">======
ID#AAABJdNWpwE
     (2024-03-19 07:21:56)
Easting UTM, Northing UTM y altitud WGS84 de pto. referencia fijo (convenio propio).</t>
        </r>
      </text>
    </comment>
    <comment ref="L2" authorId="0">
      <text>
        <r>
          <rPr>
            <sz val="10"/>
            <rFont val="Arial"/>
            <family val="2"/>
          </rPr>
          <t xml:space="preserve">======
ID#AAABJdNWpqQ
     (2024-03-19 07:21:56)
Altura de la base de la antena DGPS respecto al punto que se desea medir (en nuestro caso, la parte superior de la estaca de medida -sea la estaca real o la auxiliar).</t>
        </r>
      </text>
    </comment>
    <comment ref="M2" authorId="0">
      <text>
        <r>
          <rPr>
            <sz val="10"/>
            <rFont val="Arial"/>
            <family val="2"/>
          </rPr>
          <t xml:space="preserve">======
ID#AAABJdNWppg
     (2024-03-19 07:21:56)
Easting UTM del punto base DGPS respecto al que se ha tomado la medida.</t>
        </r>
      </text>
    </comment>
    <comment ref="N2" authorId="0">
      <text>
        <r>
          <rPr>
            <sz val="10"/>
            <rFont val="Arial"/>
            <family val="2"/>
          </rPr>
          <t xml:space="preserve">======
ID#AAABJdNWpvQ
     (2024-03-19 07:21:56)
Northing UTM del punto base DGPS respecto al que se ha tomado la medida.</t>
        </r>
      </text>
    </comment>
    <comment ref="O1" authorId="0">
      <text>
        <r>
          <rPr>
            <sz val="10"/>
            <rFont val="Arial"/>
            <family val="2"/>
          </rPr>
          <t xml:space="preserve">======
ID#AAABJdNWps4
Paco    (2024-03-19 07:21:56)
Se restan 11 cm para equipararlas al histórico hasta la campaña 2014-15, que tenía Z0 11 cm por debajo del Zr habitual (el pto. ref. BAE).</t>
        </r>
      </text>
    </comment>
    <comment ref="O2" authorId="0">
      <text>
        <r>
          <rPr>
            <sz val="10"/>
            <rFont val="Arial"/>
            <family val="2"/>
          </rPr>
          <t xml:space="preserve">======
ID#AAABJdNWptw
     (2024-03-19 07:21:56)
Altitud sobre el elipsoide WGS84 del punto base DGPS respecto al que se ha tomado la medida.</t>
        </r>
      </text>
    </comment>
    <comment ref="Q2" authorId="0">
      <text>
        <r>
          <rPr>
            <sz val="10"/>
            <rFont val="Arial"/>
            <family val="2"/>
          </rPr>
          <t xml:space="preserve">======
ID#AAABJdNWpwc
     (2024-03-19 07:21:56)
Distancia desde nivel de la superficie de la nieve hasta el extremo superior de la estaca real, esté vertical o inclinada (positivo para estaca que aflora; negativo para estaca hundida).</t>
        </r>
      </text>
    </comment>
    <comment ref="R2" authorId="0">
      <text>
        <r>
          <rPr>
            <sz val="10"/>
            <rFont val="Arial"/>
            <family val="2"/>
          </rPr>
          <t xml:space="preserve">======
ID#AAABJdNWpoo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text>
        <r>
          <rPr>
            <sz val="10"/>
            <rFont val="Arial"/>
            <family val="2"/>
          </rPr>
          <t xml:space="preserve">======
ID#AAABJdNWpvc
     (2024-03-19 07:21:56)
Ángulo de elevación (de 0 a 90º) de la estaca respecto a la horizontal. Es el complementario del ángulo cenital (o desviación respecto a la vertical).</t>
        </r>
      </text>
    </comment>
    <comment ref="T2" authorId="0">
      <text>
        <r>
          <rPr>
            <sz val="10"/>
            <rFont val="Arial"/>
            <family val="2"/>
          </rPr>
          <t xml:space="preserve">======
ID#AAABJdNWpwo
     (2024-03-19 07:21:56)
Rumbo (0 a 360º) de la estaca inclinada, medido desde el norte magnético en sentido de las agujas del reloj (denominado retrógrado).</t>
        </r>
      </text>
    </comment>
    <comment ref="AM2" authorId="0">
      <text>
        <r>
          <rPr>
            <sz val="10"/>
            <rFont val="Arial"/>
            <family val="2"/>
          </rPr>
          <t xml:space="preserve">======
ID#AAABJdNWpvE
     (2024-03-19 07:21:56)
Espesor medio de nieve junto a la estaca (medido con sonda de nieve).
Calculado como media de los valores en "H usados en media"
OJO: cambiar la fórmula (ojo con cociente) en función del número de valores relleno.</t>
        </r>
      </text>
    </comment>
    <comment ref="AN2" authorId="0">
      <text>
        <r>
          <rPr>
            <sz val="10"/>
            <rFont val="Arial"/>
            <family val="2"/>
          </rPr>
          <t xml:space="preserve">======
ID#AAABJdNWpwY
     (2024-03-19 07:21:56)
Longitud total de la estaca
(incluyendo parte enterrada).
Para estaca ampliada, sólo longitud del último tramo.
Sólo usar fórmula para estacas inclinadas en zona de ablación.</t>
        </r>
      </text>
    </comment>
    <comment ref="AP2" authorId="0">
      <text>
        <r>
          <rPr>
            <sz val="10"/>
            <rFont val="Arial"/>
            <family val="2"/>
          </rPr>
          <t xml:space="preserve">======
ID#AAABJdNWppk
     (2024-03-19 07:21:56)
Nombres de ficheros de imagen asociados a esta medida (esquemas, fotos).</t>
        </r>
      </text>
    </comment>
    <comment ref="AQ2" authorId="0">
      <text>
        <r>
          <rPr>
            <sz val="10"/>
            <rFont val="Arial"/>
            <family val="2"/>
          </rPr>
          <t xml:space="preserve">======
ID#AAABJdNWptQ
     (2024-03-19 07:21:56)
Distancia desde el nivel de la superficie de la nieve hasta el extremo superior de la estaca vertical (si estuviera inclinada, tras devolverla virtualmente a la posición vertical).</t>
        </r>
      </text>
    </comment>
    <comment ref="AR2" authorId="0">
      <text>
        <r>
          <rPr>
            <sz val="10"/>
            <rFont val="Arial"/>
            <family val="2"/>
          </rPr>
          <t xml:space="preserve">======
ID#AAABJdNWpvw
     (2024-03-19 07:21:56)
Easting UTM del extremo superior de la estaca.</t>
        </r>
      </text>
    </comment>
    <comment ref="AS2" authorId="0">
      <text>
        <r>
          <rPr>
            <sz val="10"/>
            <rFont val="Arial"/>
            <family val="2"/>
          </rPr>
          <t xml:space="preserve">======
ID#AAABJdNWptU
     (2024-03-19 07:21:56)
Northing UTM del extremo superior de la estaca.</t>
        </r>
      </text>
    </comment>
    <comment ref="AT2" authorId="0">
      <text>
        <r>
          <rPr>
            <sz val="10"/>
            <rFont val="Arial"/>
            <family val="2"/>
          </rPr>
          <t xml:space="preserve">======
ID#AAABJdNWpok
     (2024-03-19 07:21:56)
Altitud sobre elipsoide WGS84 del extremo superior de la estaca.</t>
        </r>
      </text>
    </comment>
    <comment ref="AU2" authorId="0">
      <text>
        <r>
          <rPr>
            <sz val="10"/>
            <rFont val="Arial"/>
            <family val="2"/>
          </rPr>
          <t xml:space="preserve">======
ID#AAABJdNWpyI
     (2024-03-19 07:21:56)
¿Medida en cuarentena?
Especificar SÍ si se tiene alguna duda sobre la exactitud de la medida.
De ser así, especificar en celda de comentarios la razón de la duda.</t>
        </r>
      </text>
    </comment>
    <comment ref="AW2" authorId="0">
      <text>
        <r>
          <rPr>
            <sz val="10"/>
            <rFont val="Arial"/>
            <family val="2"/>
          </rPr>
          <t xml:space="preserve">======
ID#AAABJdNWpqI
     (2024-03-19 07:21:56)
Delta_h=h_después-h_antes, cambio de la longitud de la estaca (positivo, si extensión; negativo, si replantado).
Sólo se calcula en la hoja de mantenimiento.</t>
        </r>
      </text>
    </comment>
    <comment ref="AX2" authorId="0">
      <text>
        <r>
          <rPr>
            <sz val="10"/>
            <rFont val="Arial"/>
            <family val="2"/>
          </rPr>
          <t xml:space="preserve">======
ID#AAABJdNWpsU
     (2024-03-19 07:21:56)
Ángulo de inclinación (de 0 a 90º) de la superficie del glaciar en la dirección de inclinación de la estaca. Negativo si inclinación de la estaca en dirección pendiente arriba.</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ID#AAABJdNWptI
     (2024-03-19 07:21:56)
Formato 20xx-20yy</t>
        </r>
      </text>
    </comment>
    <comment ref="C1" authorId="0">
      <text>
        <r>
          <rPr>
            <sz val="10"/>
            <rFont val="Arial"/>
            <family val="2"/>
          </rPr>
          <t xml:space="preserve">======
ID#AAABJdNWpyc
     (2024-03-19 07:21:56)
Indicador del orden secuencial (a, b, c, ...) de esta  tanda de medidas de estacas dentro de la campaña en curso</t>
        </r>
      </text>
    </comment>
    <comment ref="D2" authorId="0">
      <text>
        <r>
          <rPr>
            <sz val="10"/>
            <rFont val="Arial"/>
            <family val="2"/>
          </rPr>
          <t xml:space="preserve">======
ID#AAABJdNWpto
     (2024-03-19 07:21:56)
Nombre del fichero fuente Trimble (.dc/.job) del que proviene la medida GPS.</t>
        </r>
      </text>
    </comment>
    <comment ref="E1" authorId="0">
      <text>
        <r>
          <rPr>
            <sz val="10"/>
            <rFont val="Arial"/>
            <family val="2"/>
          </rPr>
          <t xml:space="preserve">======
ID#AAABJdNWpu0
     (2024-03-19 07:21:56)
Nombre del operador</t>
        </r>
      </text>
    </comment>
    <comment ref="E2" authorId="0">
      <text>
        <r>
          <rPr>
            <sz val="10"/>
            <rFont val="Arial"/>
            <family val="2"/>
          </rPr>
          <t xml:space="preserve">======
ID#AAABJdNWpuI
     (2024-03-19 07:21:56)
Easting UTM del punto de ubicación de antena DGPS.</t>
        </r>
      </text>
    </comment>
    <comment ref="F2" authorId="0">
      <text>
        <r>
          <rPr>
            <sz val="10"/>
            <rFont val="Arial"/>
            <family val="2"/>
          </rPr>
          <t xml:space="preserve">======
ID#AAABJdNWpxU
     (2024-03-19 07:21:56)
Northing UTM del punto de ubicación de antena DGPS.</t>
        </r>
      </text>
    </comment>
    <comment ref="G1" authorId="0">
      <text>
        <r>
          <rPr>
            <sz val="10"/>
            <rFont val="Arial"/>
            <family val="2"/>
          </rPr>
          <t xml:space="preserve">======
ID#AAABJdNWpvU
     (2024-03-19 07:21:56)
Marca y modelo de equipos base, rover y data controller.
E.g. Trimble 5700 (Base&amp;Rover) con Data Controller TSC2.</t>
        </r>
      </text>
    </comment>
    <comment ref="G2" authorId="0">
      <text>
        <r>
          <rPr>
            <sz val="10"/>
            <rFont val="Arial"/>
            <family val="2"/>
          </rPr>
          <t xml:space="preserve">======
ID#AAABJdNWpqw
     (2024-03-19 07:21:56)
Altitud sobre elipsoide WGS84 del punto de ubicación de antena DGPS.</t>
        </r>
      </text>
    </comment>
    <comment ref="H2" authorId="0">
      <text>
        <r>
          <rPr>
            <sz val="10"/>
            <rFont val="Arial"/>
            <family val="2"/>
          </rPr>
          <t xml:space="preserve">======
ID#AAABJdNWptc
Código (propio nuestro) punto DGPS    (2024-03-19 07:21:56)
RTK=Real Time Kinematics,
RTCM=Estándar de la "Radio Technical Commission for Maritime Services",
PP=Post-proceso.</t>
        </r>
      </text>
    </comment>
    <comment ref="I2" authorId="0">
      <text>
        <r>
          <rPr>
            <sz val="10"/>
            <rFont val="Arial"/>
            <family val="2"/>
          </rPr>
          <t xml:space="preserve">======
ID#AAABJdNWpqE
     (2024-03-19 07:21:56)
Altura de la base de la antena DGPS respecto al punto que se desea medir (en nuestro caso, la parte superior de la estaca de medida -sea la estaca real o la auxiliar).</t>
        </r>
      </text>
    </comment>
    <comment ref="J2" authorId="0">
      <text>
        <r>
          <rPr>
            <sz val="10"/>
            <rFont val="Arial"/>
            <family val="2"/>
          </rPr>
          <t xml:space="preserve">======
ID#AAABJdNWpog
     (2024-03-19 07:21:56)
Easting UTM del punto base DGPS respecto al que se ha tomado la medida.</t>
        </r>
      </text>
    </comment>
    <comment ref="K2" authorId="0">
      <text>
        <r>
          <rPr>
            <sz val="10"/>
            <rFont val="Arial"/>
            <family val="2"/>
          </rPr>
          <t xml:space="preserve">======
ID#AAABJdNWpx0
     (2024-03-19 07:21:56)
Northing UTM del punto base DGPS respecto al que se ha tomado la medida.</t>
        </r>
      </text>
    </comment>
    <comment ref="L2" authorId="0">
      <text>
        <r>
          <rPr>
            <sz val="10"/>
            <rFont val="Arial"/>
            <family val="2"/>
          </rPr>
          <t xml:space="preserve">======
ID#AAABJdNWpw0
     (2024-03-19 07:21:56)
Altitud sobre el elipsoide WGS84 del punto base DGPS respecto al que se ha tomado la medida.</t>
        </r>
      </text>
    </comment>
    <comment ref="N2" authorId="0">
      <text>
        <r>
          <rPr>
            <sz val="10"/>
            <rFont val="Arial"/>
            <family val="2"/>
          </rPr>
          <t xml:space="preserve">======
ID#AAABJdNWpwQ
     (2024-03-19 07:21:56)
Easting UTM del extremo superior de la estaca.</t>
        </r>
      </text>
    </comment>
    <comment ref="O2" authorId="0">
      <text>
        <r>
          <rPr>
            <sz val="10"/>
            <rFont val="Arial"/>
            <family val="2"/>
          </rPr>
          <t xml:space="preserve">======
ID#AAABJdNWpr4
     (2024-03-19 07:21:56)
Northing UTM del extremo superior de la estaca.</t>
        </r>
      </text>
    </comment>
    <comment ref="P2" authorId="0">
      <text>
        <r>
          <rPr>
            <sz val="10"/>
            <rFont val="Arial"/>
            <family val="2"/>
          </rPr>
          <t xml:space="preserve">======
ID#AAABJdNWpxM
     (2024-03-19 07:21:56)
Altitud sobre elipsoide WGS84 del extremo superior de la estaca.</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
ID#AAABJdNWpsQ
     (2024-03-19 07:21:56)
Easting UTM del punto de ubicación de antena DGPS para estacas inclinadas sepultadas medidas con metodología no estándar propia de este caso.</t>
        </r>
      </text>
    </comment>
    <comment ref="C1" authorId="0">
      <text>
        <r>
          <rPr>
            <sz val="10"/>
            <rFont val="Arial"/>
            <family val="2"/>
          </rPr>
          <t xml:space="preserve">======
ID#AAABJdNWprE
     (2024-03-19 07:21:56)
Northing UTM del punto de ubicación de antena DGPS para estacas inclinadas sepultadas medidas con metodología no estándar propia de este caso.</t>
        </r>
      </text>
    </comment>
    <comment ref="D1" authorId="0">
      <text>
        <r>
          <rPr>
            <sz val="10"/>
            <rFont val="Arial"/>
            <family val="2"/>
          </rPr>
          <t xml:space="preserve">======
ID#AAABJdNWpq0
     (2024-03-19 07:21:56)
Altitud sobre elipsoide WGS84 del punto de ubicación de antena DGPSpara estacas inclinadas sepultadas medidas con metodología no estándar propia de este caso.</t>
        </r>
      </text>
    </comment>
    <comment ref="E1" authorId="0">
      <text>
        <r>
          <rPr>
            <sz val="10"/>
            <rFont val="Arial"/>
            <family val="2"/>
          </rPr>
          <t xml:space="preserve">======
ID#AAABJdNWpxw
     (2024-03-19 07:21:56)
Ángulo de elevación (de 0 a 90º) de la estaca respecto a la horizontal. Es el complementario del ángulo cenital (o desviación respecto a la vertical).</t>
        </r>
      </text>
    </comment>
    <comment ref="F1" authorId="0">
      <text>
        <r>
          <rPr>
            <sz val="10"/>
            <rFont val="Arial"/>
            <family val="2"/>
          </rPr>
          <t xml:space="preserve">======
ID#AAABJdNWpoY
     (2024-03-19 07:21:56)
Rumbo (0 a 360º) de la estaca inclinada, medido desde el norte magnético en sentido de las agujas del reloj (denominado retrógrado).</t>
        </r>
      </text>
    </comment>
    <comment ref="G1" authorId="0">
      <text>
        <r>
          <rPr>
            <sz val="10"/>
            <rFont val="Arial"/>
            <family val="2"/>
          </rPr>
          <t xml:space="preserve">======
ID#AAABJdNWppA
     (2024-03-19 07:21:56)
Distancia VERTICAL NEGATIVA desde el nivel de la superficie de la nieve hasta el extremo superior de la estaca inclinada y hundida.</t>
        </r>
      </text>
    </comment>
    <comment ref="H1" authorId="0">
      <text>
        <r>
          <rPr>
            <sz val="10"/>
            <rFont val="Arial"/>
            <family val="2"/>
          </rPr>
          <t xml:space="preserve">======
ID#AAABJdNWpxQ
     (2024-03-19 07:21:56)
Distancia VERTICAL desde nivel de la superficie de la nieve hasta el extremo superior de la estaca auxiliar de medida (vertical) que intersecta con el extremo superior de la  inclinada y hundida (debería aflorar y ser positivo).</t>
        </r>
      </text>
    </comment>
    <comment ref="I1" authorId="0">
      <text>
        <r>
          <rPr>
            <sz val="10"/>
            <rFont val="Arial"/>
            <family val="2"/>
          </rPr>
          <t xml:space="preserve">======
ID#AAABJdNWpt4
     (2024-03-19 07:21:56)
Ángulo de inclinación (de 0 a 90º) de la superficie del glaciar en la dirección de inclinación de la estaca. Negativo si inclinación de la estaca en dirección pendiente arriba.</t>
        </r>
      </text>
    </comment>
    <comment ref="J1" authorId="0">
      <text>
        <r>
          <rPr>
            <sz val="10"/>
            <rFont val="Arial"/>
            <family val="2"/>
          </rPr>
          <t xml:space="preserve">======
ID#AAABJdNWpss
     (2024-03-19 07:21:56)
Valor a copiar al de mismo nombre de la hoja de estacas. ATENCIÓN: USAR COPIAR -&gt; PEGADO ESPECIAL -&gt; VALORES</t>
        </r>
      </text>
    </comment>
    <comment ref="K1" authorId="0">
      <text>
        <r>
          <rPr>
            <sz val="10"/>
            <rFont val="Arial"/>
            <family val="2"/>
          </rPr>
          <t xml:space="preserve">======
ID#AAABJdNWpr8
     (2024-03-19 07:21:56)
Valor a copiar al de mismo nombre de la hoja de estacas. ATENCIÓN: USAR COPIAR -&gt; PEGADO ESPECIAL -&gt; VALORES</t>
        </r>
      </text>
    </comment>
    <comment ref="L1" authorId="0">
      <text>
        <r>
          <rPr>
            <sz val="10"/>
            <rFont val="Arial"/>
            <family val="2"/>
          </rPr>
          <t xml:space="preserve">======
ID#AAABJdNWptg
     (2024-03-19 07:21:56)
Valor a copiar al de mismo nombre de la hoja de estacas. ATENCIÓN: USAR COPIAR -&gt; PEGADO ESPECIAL -&gt; VALORES</t>
        </r>
      </text>
    </comment>
    <comment ref="M1" authorId="0">
      <text>
        <r>
          <rPr>
            <sz val="10"/>
            <rFont val="Arial"/>
            <family val="2"/>
          </rPr>
          <t xml:space="preserve">======
ID#AAABJdNWpt0
     (2024-03-19 07:21:56)
Valor a copiar al de mismo nombre de la hoja de estacas. ATENCIÓN: USAR COPIAR -&gt; PEGADO ESPECIAL -&gt; VALORES</t>
        </r>
      </text>
    </comment>
    <comment ref="N1" authorId="0">
      <text>
        <r>
          <rPr>
            <sz val="10"/>
            <rFont val="Arial"/>
            <family val="2"/>
          </rPr>
          <t xml:space="preserve">======
ID#AAABJdNWprY
     (2024-03-19 07:21:56)
Valor a copiar al de mismo nombre de la hoja de estacas. ATENCIÓN: USAR COPIAR -&gt; PEGADO ESPECIAL -&gt; VALORES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
ID#AAABJdNWpsA
     (2024-03-19 07:21:56)
Distancia desde nivel de la superficie de la nieve hasta el extremo superior de la estaca real, esté vertical o inclinada (positivo para estaca que aflora; negativo para estaca hundida).</t>
        </r>
      </text>
    </comment>
    <comment ref="D3" authorId="0">
      <text>
        <r>
          <rPr>
            <sz val="10"/>
            <rFont val="Arial"/>
            <family val="2"/>
          </rPr>
          <t xml:space="preserve">======
ID#AAABJdNWpr0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E3" authorId="0">
      <text>
        <r>
          <rPr>
            <sz val="10"/>
            <rFont val="Arial"/>
            <family val="2"/>
          </rPr>
          <t xml:space="preserve">======
ID#AAABJdNWpts
     (2024-03-19 07:21:56)
Ángulo de elevación respeco a la horizontal, en grados (complementario de desviación respecto a la vertical).</t>
        </r>
      </text>
    </comment>
    <comment ref="F3" authorId="0">
      <text>
        <r>
          <rPr>
            <sz val="10"/>
            <rFont val="Arial"/>
            <family val="2"/>
          </rPr>
          <t xml:space="preserve">======
ID#AAABJdNWpsE
     (2024-03-19 07:21:56)
Azimut magnético (en grados) de la estaca inclinada, medido desde el norte magnético en sentido de las agujas del reloj.</t>
        </r>
      </text>
    </comment>
    <comment ref="G3" authorId="0">
      <text>
        <r>
          <rPr>
            <sz val="10"/>
            <rFont val="Arial"/>
            <family val="2"/>
          </rPr>
          <t xml:space="preserve">======
ID#AAABJdNWprQ
     (2024-03-19 07:21:56)
Pendiente (en grados) de la superficie del glaciar en la dirección de la inclinación de la estaca (sólo necesario para estacas inclinadas en zonas de pendiente apreciable de la superficie).</t>
        </r>
      </text>
    </comment>
    <comment ref="H3" authorId="0">
      <text>
        <r>
          <rPr>
            <sz val="10"/>
            <rFont val="Arial"/>
            <family val="2"/>
          </rPr>
          <t xml:space="preserve">======
ID#AAABJdNWpsI
     (2024-03-19 07:21:56)
Espesor de nieve junto a la estaca (medido con sonda de nieve).
Tomar al menos cinco valores, si son parecidos, e incluso más si no lo son.</t>
        </r>
      </text>
    </comment>
    <comment ref="I3" authorId="0">
      <text>
        <r>
          <rPr>
            <sz val="10"/>
            <rFont val="Arial"/>
            <family val="2"/>
          </rPr>
          <t xml:space="preserve">======
ID#AAABJdNWpwg
     (2024-03-19 07:21:56)
Longitud total de la estaca
(incluyendo parte enterrada).
Para estaca ampliada, sólo longitud del último tramo.</t>
        </r>
      </text>
    </comment>
    <comment ref="J3" authorId="0">
      <text>
        <r>
          <rPr>
            <sz val="10"/>
            <rFont val="Arial"/>
            <family val="2"/>
          </rPr>
          <t xml:space="preserve">======
ID#AAABJdNWpwU
Por ejemplo    (2024-03-19 07:21:56)
Perdida (ablación), perdida (calving), etc.
Incluir valor de densidad a 0,5 m profundidad
para estacas de línea de ablación EH31-EJ06.</t>
        </r>
      </text>
    </comment>
  </commentList>
</comments>
</file>

<file path=xl/sharedStrings.xml><?xml version="1.0" encoding="utf-8"?>
<sst xmlns="http://schemas.openxmlformats.org/spreadsheetml/2006/main" count="1058" uniqueCount="322">
  <si>
    <t xml:space="preserve">PARÁMETROS DE DESCARGA AUTOMÁTICA DESDE GPS</t>
  </si>
  <si>
    <r>
      <rPr>
        <b val="true"/>
        <sz val="10"/>
        <color rgb="FF000000"/>
        <rFont val="Arial"/>
        <family val="0"/>
        <charset val="1"/>
      </rPr>
      <t xml:space="preserve">X</t>
    </r>
    <r>
      <rPr>
        <b val="true"/>
        <vertAlign val="subscript"/>
        <sz val="10"/>
        <color rgb="FF000000"/>
        <rFont val="Arial"/>
        <family val="0"/>
        <charset val="1"/>
      </rPr>
      <t xml:space="preserve">m</t>
    </r>
    <r>
      <rPr>
        <b val="true"/>
        <sz val="10"/>
        <color rgb="FF000000"/>
        <rFont val="Arial"/>
        <family val="0"/>
        <charset val="1"/>
      </rPr>
      <t xml:space="preserve"> (E-UTM)</t>
    </r>
  </si>
  <si>
    <t xml:space="preserve">Easting UTM del punto de ubicación de antena DGPS.</t>
  </si>
  <si>
    <r>
      <rPr>
        <b val="true"/>
        <sz val="10"/>
        <color rgb="FF000000"/>
        <rFont val="Arial"/>
        <family val="0"/>
        <charset val="1"/>
      </rPr>
      <t xml:space="preserve">Y</t>
    </r>
    <r>
      <rPr>
        <b val="true"/>
        <vertAlign val="subscript"/>
        <sz val="10"/>
        <color rgb="FF000000"/>
        <rFont val="Arial"/>
        <family val="0"/>
        <charset val="1"/>
      </rPr>
      <t xml:space="preserve">m</t>
    </r>
    <r>
      <rPr>
        <b val="true"/>
        <sz val="10"/>
        <color rgb="FF000000"/>
        <rFont val="Arial"/>
        <family val="0"/>
        <charset val="1"/>
      </rPr>
      <t xml:space="preserve"> (N-UTM)</t>
    </r>
  </si>
  <si>
    <t xml:space="preserve">Northing UTM del punto de ubicación de antena DGPS.</t>
  </si>
  <si>
    <r>
      <rPr>
        <b val="true"/>
        <sz val="10"/>
        <color rgb="FF000000"/>
        <rFont val="Arial"/>
        <family val="0"/>
        <charset val="1"/>
      </rPr>
      <t xml:space="preserve">Z</t>
    </r>
    <r>
      <rPr>
        <b val="true"/>
        <vertAlign val="subscript"/>
        <sz val="10"/>
        <color rgb="FF000000"/>
        <rFont val="Arial"/>
        <family val="0"/>
        <charset val="1"/>
      </rPr>
      <t xml:space="preserve">m</t>
    </r>
    <r>
      <rPr>
        <b val="true"/>
        <sz val="10"/>
        <color rgb="FF000000"/>
        <rFont val="Arial"/>
        <family val="0"/>
        <charset val="1"/>
      </rPr>
      <t xml:space="preserve"> (WGS84)</t>
    </r>
  </si>
  <si>
    <t xml:space="preserve">Altitud sobre elipsoide WGS84 del punto de ubicación de antena DGPS.</t>
  </si>
  <si>
    <t xml:space="preserve">Tipo punto</t>
  </si>
  <si>
    <t xml:space="preserve">Código (propio nuestro) punto DGPS:
RTK=Real Time Kinematics,
RTCM=Estándar de la "Radio Technical Commission for Maritime Services",
PP=Post-proceso.</t>
  </si>
  <si>
    <r>
      <rPr>
        <b val="true"/>
        <sz val="10"/>
        <color rgb="FF000000"/>
        <rFont val="Symbol"/>
        <family val="0"/>
        <charset val="1"/>
      </rPr>
      <t xml:space="preserve">D</t>
    </r>
    <r>
      <rPr>
        <b val="true"/>
        <sz val="10"/>
        <color rgb="FF000000"/>
        <rFont val="Arial"/>
        <family val="0"/>
        <charset val="1"/>
      </rPr>
      <t xml:space="preserve"> ant</t>
    </r>
  </si>
  <si>
    <r>
      <rPr>
        <sz val="10"/>
        <color rgb="FF000000"/>
        <rFont val="Arial"/>
        <family val="0"/>
        <charset val="1"/>
      </rPr>
      <t xml:space="preserve">Altura de la antena DGPS respecto al punto que se desea medir (en nuestro caso, la parte superior de la estaca de medida, sea la estaca real o la auxiliar). Se utiliza para corregir por la altura del adaptador de antena o la diferencia de altura de distintos tipos de antena (en versiones anteriores, era un parámetro de descarga automática desde el GPS pero </t>
    </r>
    <r>
      <rPr>
        <b val="true"/>
        <sz val="10"/>
        <color rgb="FF000000"/>
        <rFont val="Arial"/>
        <family val="0"/>
        <charset val="1"/>
      </rPr>
      <t xml:space="preserve">ahora es un parámetro de anotación manual</t>
    </r>
    <r>
      <rPr>
        <sz val="10"/>
        <color rgb="FF000000"/>
        <rFont val="Arial"/>
        <family val="0"/>
        <charset val="1"/>
      </rPr>
      <t xml:space="preserve">; ésta es la razón de su ubicación en la hoja -se ha mantenido la original-, aunque se ha cambiado el código de color del campo, para hacerlo coincidir con el de parámetro de anotación manual).</t>
    </r>
  </si>
  <si>
    <r>
      <rPr>
        <b val="true"/>
        <sz val="10"/>
        <color rgb="FF000000"/>
        <rFont val="Arial"/>
        <family val="0"/>
        <charset val="1"/>
      </rPr>
      <t xml:space="preserve">X</t>
    </r>
    <r>
      <rPr>
        <b val="true"/>
        <vertAlign val="subscript"/>
        <sz val="10"/>
        <color rgb="FF000000"/>
        <rFont val="Arial"/>
        <family val="0"/>
        <charset val="1"/>
      </rPr>
      <t xml:space="preserve">r</t>
    </r>
    <r>
      <rPr>
        <b val="true"/>
        <sz val="10"/>
        <color rgb="FF000000"/>
        <rFont val="Arial"/>
        <family val="0"/>
        <charset val="1"/>
      </rPr>
      <t xml:space="preserve"> (E-UTM)</t>
    </r>
  </si>
  <si>
    <t xml:space="preserve">Easting UTM del punto base DGPS respecto al que se ha tomado la medida.</t>
  </si>
  <si>
    <r>
      <rPr>
        <b val="true"/>
        <sz val="10"/>
        <color rgb="FF000000"/>
        <rFont val="Arial"/>
        <family val="0"/>
        <charset val="1"/>
      </rPr>
      <t xml:space="preserve">Y</t>
    </r>
    <r>
      <rPr>
        <b val="true"/>
        <vertAlign val="subscript"/>
        <sz val="10"/>
        <color rgb="FF000000"/>
        <rFont val="Arial"/>
        <family val="0"/>
        <charset val="1"/>
      </rPr>
      <t xml:space="preserve">r</t>
    </r>
    <r>
      <rPr>
        <b val="true"/>
        <sz val="10"/>
        <color rgb="FF000000"/>
        <rFont val="Arial"/>
        <family val="0"/>
        <charset val="1"/>
      </rPr>
      <t xml:space="preserve"> (N-UTM)</t>
    </r>
  </si>
  <si>
    <t xml:space="preserve">Northing UTM del punto base DGPS respecto al que se ha tomado la medida.</t>
  </si>
  <si>
    <r>
      <rPr>
        <b val="true"/>
        <sz val="10"/>
        <color rgb="FF000000"/>
        <rFont val="Arial"/>
        <family val="0"/>
        <charset val="1"/>
      </rPr>
      <t xml:space="preserve">Z</t>
    </r>
    <r>
      <rPr>
        <b val="true"/>
        <vertAlign val="subscript"/>
        <sz val="10"/>
        <color rgb="FF000000"/>
        <rFont val="Arial"/>
        <family val="0"/>
        <charset val="1"/>
      </rPr>
      <t xml:space="preserve">r</t>
    </r>
    <r>
      <rPr>
        <b val="true"/>
        <sz val="10"/>
        <color rgb="FF000000"/>
        <rFont val="Arial"/>
        <family val="0"/>
        <charset val="1"/>
      </rPr>
      <t xml:space="preserve"> (WGS84)</t>
    </r>
  </si>
  <si>
    <t xml:space="preserve">Altitud sobre el elipsoide WGS84 del punto base DGPS respecto al que se ha tomado la medida.</t>
  </si>
  <si>
    <t xml:space="preserve">PARÁMETROS MEDIDOS EN CAMPO</t>
  </si>
  <si>
    <r>
      <rPr>
        <b val="true"/>
        <sz val="10"/>
        <color rgb="FF000000"/>
        <rFont val="Arial"/>
        <family val="0"/>
        <charset val="1"/>
      </rPr>
      <t xml:space="preserve">h</t>
    </r>
    <r>
      <rPr>
        <b val="true"/>
        <vertAlign val="subscript"/>
        <sz val="10"/>
        <color rgb="FF000000"/>
        <rFont val="Arial"/>
        <family val="0"/>
        <charset val="1"/>
      </rPr>
      <t xml:space="preserve">e</t>
    </r>
    <r>
      <rPr>
        <b val="true"/>
        <sz val="10"/>
        <color rgb="FF000000"/>
        <rFont val="Arial"/>
        <family val="0"/>
        <charset val="1"/>
      </rPr>
      <t xml:space="preserve">(m)</t>
    </r>
  </si>
  <si>
    <t xml:space="preserve">Distancia desde el nivel de la superficie de la nieve hasta el extremo superior de la estaca real, medido a lo largo de longitud de ésta, esté vertical o inclinada (positivo para estaca que aflora; negativo para estaca hundida).</t>
  </si>
  <si>
    <r>
      <rPr>
        <b val="true"/>
        <sz val="10"/>
        <color rgb="FF000000"/>
        <rFont val="Arial"/>
        <family val="0"/>
        <charset val="1"/>
      </rPr>
      <t xml:space="preserve">h</t>
    </r>
    <r>
      <rPr>
        <b val="true"/>
        <vertAlign val="subscript"/>
        <sz val="10"/>
        <color rgb="FF000000"/>
        <rFont val="Arial"/>
        <family val="0"/>
        <charset val="1"/>
      </rPr>
      <t xml:space="preserve">m</t>
    </r>
    <r>
      <rPr>
        <b val="true"/>
        <sz val="10"/>
        <color rgb="FF000000"/>
        <rFont val="Arial"/>
        <family val="0"/>
        <charset val="1"/>
      </rPr>
      <t xml:space="preserve">(m)</t>
    </r>
  </si>
  <si>
    <t xml:space="preserve">Distancia desde el nivel de la superficie de la nieve hasta el extremo superior de la estaca en la que se efectúa la medida DGPS, sea la propia estaca o una estaca auxiliar (DEBE SER SIEMPRE POSITIVO, para que la antena "vea" a los satélites).</t>
  </si>
  <si>
    <t xml:space="preserve">e(deg)</t>
  </si>
  <si>
    <t xml:space="preserve">Ángulo de elevación (en grados sexagesimales, de 0 a 90º) de la estaca respecto a la horizontal.
Es el complementario del ángulo cenital (o desviación respecto a la vertical).</t>
  </si>
  <si>
    <r>
      <rPr>
        <b val="true"/>
        <sz val="10"/>
        <color rgb="FF000000"/>
        <rFont val="Symbol"/>
        <family val="0"/>
        <charset val="1"/>
      </rPr>
      <t xml:space="preserve">f</t>
    </r>
    <r>
      <rPr>
        <b val="true"/>
        <vertAlign val="subscript"/>
        <sz val="10"/>
        <color rgb="FF000000"/>
        <rFont val="Arial"/>
        <family val="0"/>
        <charset val="1"/>
      </rPr>
      <t xml:space="preserve">m</t>
    </r>
    <r>
      <rPr>
        <b val="true"/>
        <sz val="10"/>
        <color rgb="FF000000"/>
        <rFont val="Arial"/>
        <family val="0"/>
        <charset val="1"/>
      </rPr>
      <t xml:space="preserve">(deg)</t>
    </r>
  </si>
  <si>
    <t xml:space="preserve">Rumbo (en grados sexagesimales, 0 a 360º) de la estaca inclinada, medido desde el norte magnético en sentido de las agujas del reloj (denominado retrógrado). En la hoja de cálculo se convertirá a azimut geográfico, teniendo en cuenta la declinación magnética (13º Este en Livingston, positivo a efectos de cálculo) y convergencia de cuadrícula (2,3º aprox en Johnsons.Hurd).</t>
  </si>
  <si>
    <r>
      <rPr>
        <b val="true"/>
        <sz val="10"/>
        <color rgb="FF000000"/>
        <rFont val="Symbol"/>
        <family val="0"/>
        <charset val="1"/>
      </rPr>
      <t xml:space="preserve">a</t>
    </r>
    <r>
      <rPr>
        <b val="true"/>
        <sz val="10"/>
        <color rgb="FF000000"/>
        <rFont val="Arial"/>
        <family val="0"/>
        <charset val="1"/>
      </rPr>
      <t xml:space="preserve">(deg)</t>
    </r>
  </si>
  <si>
    <t xml:space="preserve">Pendiente (en grados sexagesimales, de 0 a 90º) de la superficie del glaciar en la dirección de la inclinación de la estaca (sólo necesario para estacas inclinadas en zonas de pendiente apreciable de la superficie). Será positivo si la inclinación de la estaca es en la dirección pendiente abajo del glaciar y positivo si en la dirección pendiente arriba.</t>
  </si>
  <si>
    <t xml:space="preserve">H (m)
valores individuales</t>
  </si>
  <si>
    <t xml:space="preserve">Espesor de nieve junto a la estaca, medido con sonda de nieve. Se toman varios valores, al menos cinco si son parecidos, e incluso más si difieren significativamente (los rehielos pueden falsear esta medida). Si un número de ellos tienen valores similares y otros difieren significativamente, sólo los primeros se utilizarán para la media, pero todos los valores quedarán registrados (separados en utilizados y no utilizados en la media). </t>
  </si>
  <si>
    <t xml:space="preserve">l(m)</t>
  </si>
  <si>
    <t xml:space="preserve">Longitud total de la estaca (incluyendo parte enterrada). Para estaca ampliada uniendo un tramo a una estaca existente, sólo longitud del último tramo.</t>
  </si>
  <si>
    <t xml:space="preserve">PARÁMETROS CALCULADOS AUTOMÁTICAMENTE EN LA HOJA</t>
  </si>
  <si>
    <t xml:space="preserve">H(m)</t>
  </si>
  <si>
    <t xml:space="preserve">Media de los valores del espesor de nieve H.</t>
  </si>
  <si>
    <t xml:space="preserve">Ver definición en "párámetros de anotación manual". Para estacas inclinadas en zona de ablación, si l no se conoce se estima automáticamente.</t>
  </si>
  <si>
    <t xml:space="preserve">h(m)</t>
  </si>
  <si>
    <r>
      <rPr>
        <sz val="10"/>
        <color rgb="FF000000"/>
        <rFont val="Arial"/>
        <family val="0"/>
        <charset val="1"/>
      </rPr>
      <t xml:space="preserve">Distancia desde el nivel de la superficie de la nieve hasta el extremo superior de la estaca </t>
    </r>
    <r>
      <rPr>
        <i val="true"/>
        <sz val="10"/>
        <color rgb="FF000000"/>
        <rFont val="Arial"/>
        <family val="0"/>
        <charset val="1"/>
      </rPr>
      <t xml:space="preserve">vertical</t>
    </r>
    <r>
      <rPr>
        <sz val="10"/>
        <color rgb="FF000000"/>
        <rFont val="Arial"/>
        <family val="0"/>
        <charset val="1"/>
      </rPr>
      <t xml:space="preserve"> (si estuviera inclinada, tras devolverla virtualmente a la posición vertical). Para estaca vertical, coincide con h</t>
    </r>
    <r>
      <rPr>
        <vertAlign val="subscript"/>
        <sz val="10"/>
        <color rgb="FF000000"/>
        <rFont val="Arial"/>
        <family val="0"/>
        <charset val="1"/>
      </rPr>
      <t xml:space="preserve">e</t>
    </r>
    <r>
      <rPr>
        <sz val="10"/>
        <color rgb="FF000000"/>
        <rFont val="Arial"/>
        <family val="0"/>
        <charset val="1"/>
      </rPr>
      <t xml:space="preserve">.</t>
    </r>
  </si>
  <si>
    <t xml:space="preserve">X,Y,Z</t>
  </si>
  <si>
    <t xml:space="preserve">Coordenadas X, (Easting) e Y (Northing) UTM y altitud, sobre el elipsoide WGS84, del extremo superior de la estaca.</t>
  </si>
  <si>
    <r>
      <rPr>
        <b val="true"/>
        <sz val="10"/>
        <color rgb="FF000000"/>
        <rFont val="Symbol"/>
        <family val="0"/>
        <charset val="1"/>
      </rPr>
      <t xml:space="preserve">D</t>
    </r>
    <r>
      <rPr>
        <b val="true"/>
        <sz val="10"/>
        <color rgb="FF000000"/>
        <rFont val="Arial"/>
        <family val="0"/>
        <charset val="1"/>
      </rPr>
      <t xml:space="preserve">h (m)</t>
    </r>
  </si>
  <si>
    <r>
      <rPr>
        <sz val="10"/>
        <color rgb="FF000000"/>
        <rFont val="Symbol"/>
        <family val="0"/>
        <charset val="1"/>
      </rPr>
      <t xml:space="preserve">D</t>
    </r>
    <r>
      <rPr>
        <sz val="10"/>
        <color rgb="FF000000"/>
        <rFont val="Arial"/>
        <family val="0"/>
        <charset val="1"/>
      </rPr>
      <t xml:space="preserve">h=h(hoja mto.)-h(hoja ordinaria), cambio de la longitud de la estaca al efectuar mantenimiento (positivo, si extensión; negativo, si replantado). Se calcula en la hoja de mantenimiento.</t>
    </r>
  </si>
  <si>
    <t xml:space="preserve">Campaña</t>
  </si>
  <si>
    <t xml:space="preserve">2025-2026</t>
  </si>
  <si>
    <t xml:space="preserve">Tanda</t>
  </si>
  <si>
    <t xml:space="preserve">a</t>
  </si>
  <si>
    <t xml:space="preserve">Operador</t>
  </si>
  <si>
    <t xml:space="preserve">Eva De Andrés y Jaime Roas</t>
  </si>
  <si>
    <t xml:space="preserve">Instrumento</t>
  </si>
  <si>
    <t xml:space="preserve">Trimble R8S+TSC3(bluetooth)</t>
  </si>
  <si>
    <r>
      <rPr>
        <b val="true"/>
        <sz val="10"/>
        <color rgb="FF000000"/>
        <rFont val="Arial"/>
        <family val="0"/>
        <charset val="1"/>
      </rPr>
      <t xml:space="preserve">X</t>
    </r>
    <r>
      <rPr>
        <b val="true"/>
        <vertAlign val="subscript"/>
        <sz val="10"/>
        <color rgb="FF000000"/>
        <rFont val="Arial"/>
        <family val="0"/>
        <charset val="1"/>
      </rPr>
      <t xml:space="preserve">0</t>
    </r>
    <r>
      <rPr>
        <b val="true"/>
        <sz val="10"/>
        <color rgb="FF000000"/>
        <rFont val="Arial"/>
        <family val="0"/>
        <charset val="1"/>
      </rPr>
      <t xml:space="preserve">,Y</t>
    </r>
    <r>
      <rPr>
        <b val="true"/>
        <vertAlign val="subscript"/>
        <sz val="10"/>
        <color rgb="FF000000"/>
        <rFont val="Arial"/>
        <family val="0"/>
        <charset val="1"/>
      </rPr>
      <t xml:space="preserve">0</t>
    </r>
    <r>
      <rPr>
        <b val="true"/>
        <sz val="10"/>
        <color rgb="FF000000"/>
        <rFont val="Arial"/>
        <family val="0"/>
        <charset val="1"/>
      </rPr>
      <t xml:space="preserve">,Z</t>
    </r>
    <r>
      <rPr>
        <b val="true"/>
        <vertAlign val="subscript"/>
        <sz val="10"/>
        <color rgb="FF000000"/>
        <rFont val="Arial"/>
        <family val="0"/>
        <charset val="1"/>
      </rPr>
      <t xml:space="preserve">0</t>
    </r>
  </si>
  <si>
    <t xml:space="preserve">Estacas HURD 1ª fase 2025/2026</t>
  </si>
  <si>
    <t xml:space="preserve">Id. estaca</t>
  </si>
  <si>
    <t xml:space="preserve">Fecha</t>
  </si>
  <si>
    <t xml:space="preserve">Hora (UT)</t>
  </si>
  <si>
    <t xml:space="preserve">¿Mto.?</t>
  </si>
  <si>
    <t xml:space="preserve">PreMtoFecha</t>
  </si>
  <si>
    <t xml:space="preserve">PreMtoHora</t>
  </si>
  <si>
    <t xml:space="preserve">Fichero fuente</t>
  </si>
  <si>
    <t xml:space="preserve">Código</t>
  </si>
  <si>
    <r>
      <rPr>
        <b val="true"/>
        <sz val="10"/>
        <color rgb="FF000000"/>
        <rFont val="Symbol"/>
        <family val="0"/>
        <charset val="1"/>
      </rPr>
      <t xml:space="preserve">D</t>
    </r>
    <r>
      <rPr>
        <b val="true"/>
        <sz val="10"/>
        <color rgb="FF000000"/>
        <rFont val="Arial"/>
        <family val="0"/>
        <charset val="1"/>
      </rPr>
      <t xml:space="preserve">ant</t>
    </r>
  </si>
  <si>
    <r>
      <rPr>
        <b val="true"/>
        <sz val="10"/>
        <color rgb="FF000000"/>
        <rFont val="Arial"/>
        <family val="0"/>
        <charset val="1"/>
      </rPr>
      <t xml:space="preserve">Y</t>
    </r>
    <r>
      <rPr>
        <b val="true"/>
        <vertAlign val="subscript"/>
        <sz val="10"/>
        <color rgb="FF000000"/>
        <rFont val="Arial"/>
        <family val="0"/>
        <charset val="1"/>
      </rPr>
      <t xml:space="preserve">r </t>
    </r>
    <r>
      <rPr>
        <b val="true"/>
        <sz val="10"/>
        <color rgb="FF000000"/>
        <rFont val="Arial"/>
        <family val="0"/>
        <charset val="1"/>
      </rPr>
      <t xml:space="preserve">(N-UTM)</t>
    </r>
  </si>
  <si>
    <t xml:space="preserve">Comentarios sobre medida GPS</t>
  </si>
  <si>
    <r>
      <rPr>
        <b val="true"/>
        <sz val="10"/>
        <color rgb="FF000000"/>
        <rFont val="Arial"/>
        <family val="0"/>
        <charset val="1"/>
      </rPr>
      <t xml:space="preserve">h</t>
    </r>
    <r>
      <rPr>
        <b val="true"/>
        <vertAlign val="subscript"/>
        <sz val="10"/>
        <color rgb="FF000000"/>
        <rFont val="Arial"/>
        <family val="0"/>
        <charset val="1"/>
      </rPr>
      <t xml:space="preserve">e</t>
    </r>
    <r>
      <rPr>
        <b val="true"/>
        <sz val="10"/>
        <color rgb="FF000000"/>
        <rFont val="Arial"/>
        <family val="0"/>
        <charset val="1"/>
      </rPr>
      <t xml:space="preserve"> (m)</t>
    </r>
  </si>
  <si>
    <r>
      <rPr>
        <b val="true"/>
        <sz val="10"/>
        <color rgb="FF000000"/>
        <rFont val="Arial"/>
        <family val="0"/>
        <charset val="1"/>
      </rPr>
      <t xml:space="preserve">h</t>
    </r>
    <r>
      <rPr>
        <b val="true"/>
        <vertAlign val="subscript"/>
        <sz val="10"/>
        <color rgb="FF000000"/>
        <rFont val="Arial"/>
        <family val="0"/>
        <charset val="1"/>
      </rPr>
      <t xml:space="preserve">m</t>
    </r>
    <r>
      <rPr>
        <b val="true"/>
        <sz val="10"/>
        <color rgb="FF000000"/>
        <rFont val="Arial"/>
        <family val="0"/>
        <charset val="1"/>
      </rPr>
      <t xml:space="preserve"> (m)</t>
    </r>
  </si>
  <si>
    <t xml:space="preserve">H usados en media (m)</t>
  </si>
  <si>
    <t xml:space="preserve">H no usados en media (m)</t>
  </si>
  <si>
    <t xml:space="preserve">H (m)</t>
  </si>
  <si>
    <t xml:space="preserve">l (m)</t>
  </si>
  <si>
    <t xml:space="preserve">Comentarios medidas manuales</t>
  </si>
  <si>
    <t xml:space="preserve">Recursos gráficos asociados</t>
  </si>
  <si>
    <t xml:space="preserve">h (m)</t>
  </si>
  <si>
    <t xml:space="preserve">X (E-UTM)</t>
  </si>
  <si>
    <t xml:space="preserve">Y (N-UTM)</t>
  </si>
  <si>
    <t xml:space="preserve">Z (WGS84)</t>
  </si>
  <si>
    <t xml:space="preserve">¿40?</t>
  </si>
  <si>
    <t xml:space="preserve">Coment. sobre medida corregida</t>
  </si>
  <si>
    <t xml:space="preserve">dd-mm-aa</t>
  </si>
  <si>
    <t xml:space="preserve">hh:mm</t>
  </si>
  <si>
    <t xml:space="preserve">Dejar NO</t>
  </si>
  <si>
    <t xml:space="preserve">Dejar vacío</t>
  </si>
  <si>
    <t xml:space="preserve">xxxxxx,xx</t>
  </si>
  <si>
    <t xml:space="preserve">yyyyyyy,yy</t>
  </si>
  <si>
    <t xml:space="preserve">zzz,zz</t>
  </si>
  <si>
    <t xml:space="preserve">xxxxxx,xxx</t>
  </si>
  <si>
    <t xml:space="preserve">yyyyyyy,yyy</t>
  </si>
  <si>
    <t xml:space="preserve">zzz,zzz</t>
  </si>
  <si>
    <t xml:space="preserve">hh,hh</t>
  </si>
  <si>
    <t xml:space="preserve">g</t>
  </si>
  <si>
    <t xml:space="preserve">H1</t>
  </si>
  <si>
    <t xml:space="preserve">H2</t>
  </si>
  <si>
    <t xml:space="preserve">H3</t>
  </si>
  <si>
    <t xml:space="preserve">H4</t>
  </si>
  <si>
    <t xml:space="preserve">H5</t>
  </si>
  <si>
    <t xml:space="preserve">H6</t>
  </si>
  <si>
    <t xml:space="preserve">H7</t>
  </si>
  <si>
    <t xml:space="preserve">H8</t>
  </si>
  <si>
    <t xml:space="preserve">H9</t>
  </si>
  <si>
    <t xml:space="preserve">HH,HH</t>
  </si>
  <si>
    <t xml:space="preserve">ll,ll</t>
  </si>
  <si>
    <t xml:space="preserve">EH01</t>
  </si>
  <si>
    <t xml:space="preserve">10-01-26</t>
  </si>
  <si>
    <t xml:space="preserve">10:36</t>
  </si>
  <si>
    <t xml:space="preserve">NO</t>
  </si>
  <si>
    <t xml:space="preserve">jh260110.job</t>
  </si>
  <si>
    <t xml:space="preserve">RTK</t>
  </si>
  <si>
    <t xml:space="preserve">Capuchón</t>
  </si>
  <si>
    <t xml:space="preserve">PARTIDA??</t>
  </si>
  <si>
    <t xml:space="preserve">EH02</t>
  </si>
  <si>
    <t xml:space="preserve">10:44</t>
  </si>
  <si>
    <t xml:space="preserve">EH03</t>
  </si>
  <si>
    <t xml:space="preserve">PARTIDA, reconstruimos para medir (hay otra medida como si estuviese inclinada, que eva usó como muestra para enseñarme si ese fuese el caso)</t>
  </si>
  <si>
    <t xml:space="preserve">EH04</t>
  </si>
  <si>
    <t xml:space="preserve">09-01-26</t>
  </si>
  <si>
    <t xml:space="preserve">jh260109.job</t>
  </si>
  <si>
    <t xml:space="preserve">EH05</t>
  </si>
  <si>
    <t xml:space="preserve">EH06</t>
  </si>
  <si>
    <t xml:space="preserve">EH07</t>
  </si>
  <si>
    <t xml:space="preserve">EH08</t>
  </si>
  <si>
    <t xml:space="preserve">EH09</t>
  </si>
  <si>
    <t xml:space="preserve">EH10</t>
  </si>
  <si>
    <t xml:space="preserve">EH11</t>
  </si>
  <si>
    <t xml:space="preserve">11-01-26</t>
  </si>
  <si>
    <t xml:space="preserve">jh250111.job</t>
  </si>
  <si>
    <t xml:space="preserve">EH12</t>
  </si>
  <si>
    <t xml:space="preserve">EH13</t>
  </si>
  <si>
    <t xml:space="preserve">EH14</t>
  </si>
  <si>
    <t xml:space="preserve">EH15</t>
  </si>
  <si>
    <t xml:space="preserve">EH16</t>
  </si>
  <si>
    <t xml:space="preserve">EH17</t>
  </si>
  <si>
    <t xml:space="preserve">EH18</t>
  </si>
  <si>
    <t xml:space="preserve">EH19</t>
  </si>
  <si>
    <t xml:space="preserve">EH20</t>
  </si>
  <si>
    <t xml:space="preserve">EH21</t>
  </si>
  <si>
    <t xml:space="preserve">EH22</t>
  </si>
  <si>
    <t xml:space="preserve">EH23</t>
  </si>
  <si>
    <t xml:space="preserve">EH24</t>
  </si>
  <si>
    <t xml:space="preserve">EH25</t>
  </si>
  <si>
    <t xml:space="preserve">EH26</t>
  </si>
  <si>
    <t xml:space="preserve">EH27</t>
  </si>
  <si>
    <t xml:space="preserve">EH28</t>
  </si>
  <si>
    <t xml:space="preserve">EH29</t>
  </si>
  <si>
    <t xml:space="preserve">EH30</t>
  </si>
  <si>
    <t xml:space="preserve">PARTIDA, reconstruimos para medir</t>
  </si>
  <si>
    <t xml:space="preserve">EH31</t>
  </si>
  <si>
    <t xml:space="preserve">EH32</t>
  </si>
  <si>
    <t xml:space="preserve">EH33</t>
  </si>
  <si>
    <t xml:space="preserve">EH34</t>
  </si>
  <si>
    <t xml:space="preserve">EH35</t>
  </si>
  <si>
    <t xml:space="preserve">EH36</t>
  </si>
  <si>
    <t xml:space="preserve">EH37</t>
  </si>
  <si>
    <t xml:space="preserve">EH38</t>
  </si>
  <si>
    <t xml:space="preserve">EH39</t>
  </si>
  <si>
    <t xml:space="preserve">EH40</t>
  </si>
  <si>
    <t xml:space="preserve">EH41</t>
  </si>
  <si>
    <t xml:space="preserve">EH42</t>
  </si>
  <si>
    <t xml:space="preserve">EH43</t>
  </si>
  <si>
    <t xml:space="preserve">EH44</t>
  </si>
  <si>
    <t xml:space="preserve">EH45</t>
  </si>
  <si>
    <t xml:space="preserve">EH46</t>
  </si>
  <si>
    <t xml:space="preserve">EH47</t>
  </si>
  <si>
    <t xml:space="preserve">EH48</t>
  </si>
  <si>
    <t xml:space="preserve">EH49</t>
  </si>
  <si>
    <t xml:space="preserve">EH50</t>
  </si>
  <si>
    <t xml:space="preserve">EH51</t>
  </si>
  <si>
    <t xml:space="preserve">EH52</t>
  </si>
  <si>
    <t xml:space="preserve">EH53</t>
  </si>
  <si>
    <t xml:space="preserve">EH54</t>
  </si>
  <si>
    <t xml:space="preserve">Recco caído, buscar en 2a fase</t>
  </si>
  <si>
    <t xml:space="preserve">EH55</t>
  </si>
  <si>
    <t xml:space="preserve">EH56</t>
  </si>
  <si>
    <t xml:space="preserve">Jalón</t>
  </si>
  <si>
    <t xml:space="preserve">EH57</t>
  </si>
  <si>
    <t xml:space="preserve">EH58</t>
  </si>
  <si>
    <t xml:space="preserve">EH59</t>
  </si>
  <si>
    <t xml:space="preserve">Hielo visto en morrena</t>
  </si>
  <si>
    <t xml:space="preserve">EH60</t>
  </si>
  <si>
    <t xml:space="preserve">EH61</t>
  </si>
  <si>
    <t xml:space="preserve">EH62</t>
  </si>
  <si>
    <t xml:space="preserve">EH63</t>
  </si>
  <si>
    <t xml:space="preserve">EH64</t>
  </si>
  <si>
    <t xml:space="preserve">PARTIDA</t>
  </si>
  <si>
    <t xml:space="preserve">EH65</t>
  </si>
  <si>
    <t xml:space="preserve">EH66</t>
  </si>
  <si>
    <t xml:space="preserve">EH67</t>
  </si>
  <si>
    <t xml:space="preserve">EH68</t>
  </si>
  <si>
    <t xml:space="preserve">EH69</t>
  </si>
  <si>
    <t xml:space="preserve">EH70</t>
  </si>
  <si>
    <t xml:space="preserve">EH71</t>
  </si>
  <si>
    <t xml:space="preserve">EH72</t>
  </si>
  <si>
    <t xml:space="preserve">Hielo</t>
  </si>
  <si>
    <t xml:space="preserve">EH73</t>
  </si>
  <si>
    <t xml:space="preserve">EH74</t>
  </si>
  <si>
    <t xml:space="preserve">EH75</t>
  </si>
  <si>
    <t xml:space="preserve">EH76</t>
  </si>
  <si>
    <t xml:space="preserve">EH77</t>
  </si>
  <si>
    <t xml:space="preserve">EH78</t>
  </si>
  <si>
    <t xml:space="preserve">Mto. estacas HURD 1ª fase 2025/2026</t>
  </si>
  <si>
    <t xml:space="preserve">SÍ o vacío</t>
  </si>
  <si>
    <t xml:space="preserve">Estacas JOHNSONS 1ª fase 2025/2026</t>
  </si>
  <si>
    <t xml:space="preserve">EJ01</t>
  </si>
  <si>
    <t xml:space="preserve">EJ02</t>
  </si>
  <si>
    <t xml:space="preserve">EJ03</t>
  </si>
  <si>
    <t xml:space="preserve">14:52</t>
  </si>
  <si>
    <t xml:space="preserve">EJ03r</t>
  </si>
  <si>
    <t xml:space="preserve">EJ04</t>
  </si>
  <si>
    <t xml:space="preserve">14:33</t>
  </si>
  <si>
    <t xml:space="preserve">Jalón, en el Trimble EJ04_OK</t>
  </si>
  <si>
    <t xml:space="preserve">en el Trimble EJ04_OK</t>
  </si>
  <si>
    <t xml:space="preserve">EJ04r</t>
  </si>
  <si>
    <t xml:space="preserve">EJ05</t>
  </si>
  <si>
    <t xml:space="preserve">12-01-26</t>
  </si>
  <si>
    <t xml:space="preserve">13:59</t>
  </si>
  <si>
    <t xml:space="preserve">jh260112.job</t>
  </si>
  <si>
    <t xml:space="preserve">EJ05r</t>
  </si>
  <si>
    <t xml:space="preserve">EJ06</t>
  </si>
  <si>
    <t xml:space="preserve">EJ06r</t>
  </si>
  <si>
    <t xml:space="preserve">EJ07</t>
  </si>
  <si>
    <t xml:space="preserve">EJ08</t>
  </si>
  <si>
    <t xml:space="preserve">EJ09</t>
  </si>
  <si>
    <t xml:space="preserve">EJ10</t>
  </si>
  <si>
    <t xml:space="preserve">EJ10r</t>
  </si>
  <si>
    <t xml:space="preserve">EJ11</t>
  </si>
  <si>
    <t xml:space="preserve">EJ11r</t>
  </si>
  <si>
    <t xml:space="preserve">EJ12</t>
  </si>
  <si>
    <t xml:space="preserve">EJ13</t>
  </si>
  <si>
    <t xml:space="preserve">EJ14</t>
  </si>
  <si>
    <t xml:space="preserve">EJ14r</t>
  </si>
  <si>
    <t xml:space="preserve">EJ15</t>
  </si>
  <si>
    <t xml:space="preserve">EJ16</t>
  </si>
  <si>
    <t xml:space="preserve">EJ16r</t>
  </si>
  <si>
    <t xml:space="preserve">EJ17</t>
  </si>
  <si>
    <t xml:space="preserve">EJ17r</t>
  </si>
  <si>
    <t xml:space="preserve">EJ18</t>
  </si>
  <si>
    <t xml:space="preserve">EJ18r</t>
  </si>
  <si>
    <t xml:space="preserve">EJ19</t>
  </si>
  <si>
    <t xml:space="preserve">EJ19r</t>
  </si>
  <si>
    <t xml:space="preserve">EJ20</t>
  </si>
  <si>
    <t xml:space="preserve">EJ20r</t>
  </si>
  <si>
    <t xml:space="preserve">EJ21</t>
  </si>
  <si>
    <t xml:space="preserve">EJ22</t>
  </si>
  <si>
    <t xml:space="preserve">15:07</t>
  </si>
  <si>
    <t xml:space="preserve">EJ23</t>
  </si>
  <si>
    <t xml:space="preserve">en el Trimble, EJ23_OK</t>
  </si>
  <si>
    <t xml:space="preserve">EJ24</t>
  </si>
  <si>
    <t xml:space="preserve">Directo en estaca (sin capuchón)</t>
  </si>
  <si>
    <t xml:space="preserve">EJ25</t>
  </si>
  <si>
    <t xml:space="preserve">EJ26</t>
  </si>
  <si>
    <t xml:space="preserve">EJ27</t>
  </si>
  <si>
    <t xml:space="preserve">en el Trimble, EJ23</t>
  </si>
  <si>
    <t xml:space="preserve">EJ28</t>
  </si>
  <si>
    <t xml:space="preserve">EJ29</t>
  </si>
  <si>
    <t xml:space="preserve">EJ30</t>
  </si>
  <si>
    <t xml:space="preserve">EJ31</t>
  </si>
  <si>
    <t xml:space="preserve">15-01-26</t>
  </si>
  <si>
    <t xml:space="preserve">jh260115.job</t>
  </si>
  <si>
    <t xml:space="preserve">EJ32</t>
  </si>
  <si>
    <t xml:space="preserve">EJ33</t>
  </si>
  <si>
    <t xml:space="preserve">EJ34</t>
  </si>
  <si>
    <t xml:space="preserve">13:20</t>
  </si>
  <si>
    <t xml:space="preserve">EJ35</t>
  </si>
  <si>
    <t xml:space="preserve">Jalón </t>
  </si>
  <si>
    <t xml:space="preserve">EJ36</t>
  </si>
  <si>
    <t xml:space="preserve">EJ37</t>
  </si>
  <si>
    <t xml:space="preserve">EJ38</t>
  </si>
  <si>
    <t xml:space="preserve">EJ39</t>
  </si>
  <si>
    <t xml:space="preserve">EJ40</t>
  </si>
  <si>
    <t xml:space="preserve">EJ41</t>
  </si>
  <si>
    <t xml:space="preserve">EJ42</t>
  </si>
  <si>
    <t xml:space="preserve">EJ43</t>
  </si>
  <si>
    <t xml:space="preserve">EJ44</t>
  </si>
  <si>
    <t xml:space="preserve">EJ45</t>
  </si>
  <si>
    <t xml:space="preserve">Con trozo de estaca partida</t>
  </si>
  <si>
    <t xml:space="preserve">EJ46</t>
  </si>
  <si>
    <t xml:space="preserve">EJ47</t>
  </si>
  <si>
    <t xml:space="preserve">EJ48</t>
  </si>
  <si>
    <t xml:space="preserve">14:06</t>
  </si>
  <si>
    <t xml:space="preserve">Con jalón, en el Trimble se llama EJ04 por error en el terreno</t>
  </si>
  <si>
    <t xml:space="preserve">en el Trimble se llama EJ04 por error en el terreno</t>
  </si>
  <si>
    <t xml:space="preserve">EJ49</t>
  </si>
  <si>
    <t xml:space="preserve">EJ50</t>
  </si>
  <si>
    <t xml:space="preserve">EJ51</t>
  </si>
  <si>
    <t xml:space="preserve">EJ52</t>
  </si>
  <si>
    <t xml:space="preserve">EJ53</t>
  </si>
  <si>
    <t xml:space="preserve">EJ54</t>
  </si>
  <si>
    <t xml:space="preserve">EJ55</t>
  </si>
  <si>
    <t xml:space="preserve">EJ56</t>
  </si>
  <si>
    <t xml:space="preserve">EJ57</t>
  </si>
  <si>
    <t xml:space="preserve">PARTIDA, no posible en 2a fase</t>
  </si>
  <si>
    <t xml:space="preserve">EJ58</t>
  </si>
  <si>
    <t xml:space="preserve">EJ59</t>
  </si>
  <si>
    <t xml:space="preserve">EJ60</t>
  </si>
  <si>
    <t xml:space="preserve">EJ61</t>
  </si>
  <si>
    <t xml:space="preserve">EJ62</t>
  </si>
  <si>
    <t xml:space="preserve">EJ63</t>
  </si>
  <si>
    <t xml:space="preserve">EJ64</t>
  </si>
  <si>
    <t xml:space="preserve">EJ65</t>
  </si>
  <si>
    <t xml:space="preserve">faltan las medidas del año pasado</t>
  </si>
  <si>
    <t xml:space="preserve">Mto. estacas JOHNSONS 1ª fase 2025/2026</t>
  </si>
  <si>
    <t xml:space="preserve">Medidas del punto de control junto al refugio de montaña</t>
  </si>
  <si>
    <t xml:space="preserve">Id.punto</t>
  </si>
  <si>
    <r>
      <rPr>
        <b val="true"/>
        <sz val="10"/>
        <color rgb="FF000000"/>
        <rFont val="Arial"/>
        <family val="0"/>
        <charset val="1"/>
      </rPr>
      <t xml:space="preserve">X</t>
    </r>
    <r>
      <rPr>
        <b val="true"/>
        <vertAlign val="subscript"/>
        <sz val="10"/>
        <color rgb="FF000000"/>
        <rFont val="Arial"/>
        <family val="0"/>
        <charset val="1"/>
      </rPr>
      <t xml:space="preserve">m</t>
    </r>
    <r>
      <rPr>
        <b val="true"/>
        <sz val="10"/>
        <color rgb="FF000000"/>
        <rFont val="Arial"/>
        <family val="0"/>
        <charset val="1"/>
      </rPr>
      <t xml:space="preserve">* (E-UTM)</t>
    </r>
  </si>
  <si>
    <r>
      <rPr>
        <b val="true"/>
        <sz val="10"/>
        <color rgb="FF000000"/>
        <rFont val="Arial"/>
        <family val="0"/>
        <charset val="1"/>
      </rPr>
      <t xml:space="preserve">Y</t>
    </r>
    <r>
      <rPr>
        <b val="true"/>
        <vertAlign val="subscript"/>
        <sz val="10"/>
        <color rgb="FF000000"/>
        <rFont val="Arial"/>
        <family val="0"/>
        <charset val="1"/>
      </rPr>
      <t xml:space="preserve">m</t>
    </r>
    <r>
      <rPr>
        <b val="true"/>
        <sz val="10"/>
        <color rgb="FF000000"/>
        <rFont val="Arial"/>
        <family val="0"/>
        <charset val="1"/>
      </rPr>
      <t xml:space="preserve">* (N-UTM)</t>
    </r>
  </si>
  <si>
    <r>
      <rPr>
        <b val="true"/>
        <sz val="10"/>
        <color rgb="FF000000"/>
        <rFont val="Arial"/>
        <family val="0"/>
        <charset val="1"/>
      </rPr>
      <t xml:space="preserve">Z</t>
    </r>
    <r>
      <rPr>
        <b val="true"/>
        <vertAlign val="subscript"/>
        <sz val="10"/>
        <color rgb="FF000000"/>
        <rFont val="Arial"/>
        <family val="0"/>
        <charset val="1"/>
      </rPr>
      <t xml:space="preserve">m</t>
    </r>
    <r>
      <rPr>
        <b val="true"/>
        <sz val="10"/>
        <color rgb="FF000000"/>
        <rFont val="Arial"/>
        <family val="0"/>
        <charset val="1"/>
      </rPr>
      <t xml:space="preserve">* (WGS84)</t>
    </r>
  </si>
  <si>
    <r>
      <rPr>
        <b val="true"/>
        <sz val="10"/>
        <color rgb="FF000000"/>
        <rFont val="Arial"/>
        <family val="0"/>
        <charset val="1"/>
      </rPr>
      <t xml:space="preserve">h</t>
    </r>
    <r>
      <rPr>
        <b val="true"/>
        <vertAlign val="subscript"/>
        <sz val="10"/>
        <color rgb="FF000000"/>
        <rFont val="Arial"/>
        <family val="0"/>
        <charset val="1"/>
      </rPr>
      <t xml:space="preserve">e</t>
    </r>
    <r>
      <rPr>
        <b val="true"/>
        <sz val="10"/>
        <color rgb="FF000000"/>
        <rFont val="Arial"/>
        <family val="0"/>
        <charset val="1"/>
      </rPr>
      <t xml:space="preserve">* (m)</t>
    </r>
  </si>
  <si>
    <r>
      <rPr>
        <b val="true"/>
        <sz val="10"/>
        <color rgb="FF000000"/>
        <rFont val="Arial"/>
        <family val="0"/>
        <charset val="1"/>
      </rPr>
      <t xml:space="preserve">h</t>
    </r>
    <r>
      <rPr>
        <b val="true"/>
        <vertAlign val="subscript"/>
        <sz val="10"/>
        <color rgb="FF000000"/>
        <rFont val="Arial"/>
        <family val="0"/>
        <charset val="1"/>
      </rPr>
      <t xml:space="preserve">m</t>
    </r>
    <r>
      <rPr>
        <b val="true"/>
        <sz val="10"/>
        <color rgb="FF000000"/>
        <rFont val="Arial"/>
        <family val="0"/>
        <charset val="1"/>
      </rPr>
      <t xml:space="preserve">* (m)</t>
    </r>
  </si>
  <si>
    <r>
      <rPr>
        <b val="true"/>
        <sz val="10"/>
        <color rgb="FF000000"/>
        <rFont val="Arial"/>
        <family val="0"/>
        <charset val="1"/>
      </rPr>
      <t xml:space="preserve">h</t>
    </r>
    <r>
      <rPr>
        <b val="true"/>
        <vertAlign val="subscript"/>
        <sz val="10"/>
        <color rgb="FF000000"/>
        <rFont val="Arial"/>
        <family val="0"/>
        <charset val="1"/>
      </rPr>
      <t xml:space="preserve">m</t>
    </r>
    <r>
      <rPr>
        <b val="true"/>
        <sz val="10"/>
        <color rgb="FF000000"/>
        <rFont val="Arial"/>
        <family val="0"/>
        <charset val="1"/>
      </rPr>
      <t xml:space="preserve"> = h</t>
    </r>
    <r>
      <rPr>
        <b val="true"/>
        <vertAlign val="subscript"/>
        <sz val="10"/>
        <color rgb="FF000000"/>
        <rFont val="Arial"/>
        <family val="0"/>
        <charset val="1"/>
      </rPr>
      <t xml:space="preserve">m</t>
    </r>
    <r>
      <rPr>
        <b val="true"/>
        <sz val="10"/>
        <color rgb="FF000000"/>
        <rFont val="Arial"/>
        <family val="0"/>
        <charset val="1"/>
      </rPr>
      <t xml:space="preserve">*(m)</t>
    </r>
  </si>
  <si>
    <t xml:space="preserve">ESTACAS CAMPO</t>
  </si>
  <si>
    <t xml:space="preserve">Campaña:</t>
  </si>
  <si>
    <t xml:space="preserve">Tanda:</t>
  </si>
  <si>
    <t xml:space="preserve">Fecha:</t>
  </si>
  <si>
    <t xml:space="preserve">Operador:</t>
  </si>
  <si>
    <t xml:space="preserve">Estaca</t>
  </si>
  <si>
    <t xml:space="preserve">Hora
local</t>
  </si>
  <si>
    <r>
      <rPr>
        <sz val="18"/>
        <color rgb="FF000000"/>
        <rFont val="Arial"/>
        <family val="0"/>
        <charset val="1"/>
      </rPr>
      <t xml:space="preserve">h</t>
    </r>
    <r>
      <rPr>
        <vertAlign val="subscript"/>
        <sz val="18"/>
        <color rgb="FF000000"/>
        <rFont val="Arial"/>
        <family val="0"/>
        <charset val="1"/>
      </rPr>
      <t xml:space="preserve">e</t>
    </r>
    <r>
      <rPr>
        <sz val="18"/>
        <color rgb="FF000000"/>
        <rFont val="Arial"/>
        <family val="0"/>
        <charset val="1"/>
      </rPr>
      <t xml:space="preserve">(cm)</t>
    </r>
  </si>
  <si>
    <r>
      <rPr>
        <sz val="18"/>
        <color rgb="FF000000"/>
        <rFont val="Arial"/>
        <family val="0"/>
        <charset val="1"/>
      </rPr>
      <t xml:space="preserve">h</t>
    </r>
    <r>
      <rPr>
        <vertAlign val="subscript"/>
        <sz val="18"/>
        <color rgb="FF000000"/>
        <rFont val="Arial"/>
        <family val="0"/>
        <charset val="1"/>
      </rPr>
      <t xml:space="preserve">m</t>
    </r>
    <r>
      <rPr>
        <sz val="18"/>
        <color rgb="FF000000"/>
        <rFont val="Arial"/>
        <family val="0"/>
        <charset val="1"/>
      </rPr>
      <t xml:space="preserve">(cm)</t>
    </r>
  </si>
  <si>
    <t xml:space="preserve">e
(deg)</t>
  </si>
  <si>
    <r>
      <rPr>
        <sz val="18"/>
        <color rgb="FF000000"/>
        <rFont val="Symbol"/>
        <family val="0"/>
        <charset val="1"/>
      </rPr>
      <t xml:space="preserve">f</t>
    </r>
    <r>
      <rPr>
        <vertAlign val="subscript"/>
        <sz val="18"/>
        <color rgb="FF000000"/>
        <rFont val="Arial"/>
        <family val="0"/>
        <charset val="1"/>
      </rPr>
      <t xml:space="preserve">m
</t>
    </r>
    <r>
      <rPr>
        <sz val="18"/>
        <color rgb="FF000000"/>
        <rFont val="Arial"/>
        <family val="0"/>
        <charset val="1"/>
      </rPr>
      <t xml:space="preserve">(deg)</t>
    </r>
  </si>
  <si>
    <t xml:space="preserve">a
(deg)</t>
  </si>
  <si>
    <t xml:space="preserve">H (cm)
(varios valores)</t>
  </si>
  <si>
    <t xml:space="preserve">l (cm)</t>
  </si>
  <si>
    <t xml:space="preserve">Comentarios</t>
  </si>
</sst>
</file>

<file path=xl/styles.xml><?xml version="1.0" encoding="utf-8"?>
<styleSheet xmlns="http://schemas.openxmlformats.org/spreadsheetml/2006/main">
  <numFmts count="7">
    <numFmt numFmtId="164" formatCode="General"/>
    <numFmt numFmtId="165" formatCode="@"/>
    <numFmt numFmtId="166" formatCode="0.00"/>
    <numFmt numFmtId="167" formatCode="0.000"/>
    <numFmt numFmtId="168" formatCode="dd\-mm\-yy"/>
    <numFmt numFmtId="169" formatCode="h:mm"/>
    <numFmt numFmtId="170" formatCode="0"/>
  </numFmts>
  <fonts count="18">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b val="true"/>
      <vertAlign val="subscript"/>
      <sz val="10"/>
      <color rgb="FF000000"/>
      <name val="Arial"/>
      <family val="0"/>
      <charset val="1"/>
    </font>
    <font>
      <b val="true"/>
      <sz val="10"/>
      <color rgb="FF000000"/>
      <name val="Symbol"/>
      <family val="0"/>
      <charset val="1"/>
    </font>
    <font>
      <i val="true"/>
      <sz val="10"/>
      <color rgb="FF000000"/>
      <name val="Arial"/>
      <family val="0"/>
      <charset val="1"/>
    </font>
    <font>
      <vertAlign val="subscript"/>
      <sz val="10"/>
      <color rgb="FF000000"/>
      <name val="Arial"/>
      <family val="0"/>
      <charset val="1"/>
    </font>
    <font>
      <sz val="10"/>
      <color rgb="FF000000"/>
      <name val="Symbol"/>
      <family val="0"/>
      <charset val="1"/>
    </font>
    <font>
      <sz val="10"/>
      <color rgb="FF000000"/>
      <name val="Arial"/>
      <family val="2"/>
      <charset val="1"/>
    </font>
    <font>
      <sz val="10"/>
      <name val="Arial"/>
      <family val="2"/>
    </font>
    <font>
      <sz val="10"/>
      <color theme="1"/>
      <name val="Arial"/>
      <family val="0"/>
      <charset val="1"/>
    </font>
    <font>
      <sz val="18"/>
      <color rgb="FF000000"/>
      <name val="Arial"/>
      <family val="0"/>
      <charset val="1"/>
    </font>
    <font>
      <sz val="20"/>
      <color rgb="FF000000"/>
      <name val="Arial"/>
      <family val="0"/>
      <charset val="1"/>
    </font>
    <font>
      <vertAlign val="subscript"/>
      <sz val="18"/>
      <color rgb="FF000000"/>
      <name val="Arial"/>
      <family val="0"/>
      <charset val="1"/>
    </font>
    <font>
      <sz val="18"/>
      <color rgb="FF000000"/>
      <name val="Symbol"/>
      <family val="0"/>
      <charset val="1"/>
    </font>
    <font>
      <sz val="36"/>
      <color rgb="FF000000"/>
      <name val="Arial"/>
      <family val="0"/>
      <charset val="1"/>
    </font>
  </fonts>
  <fills count="16">
    <fill>
      <patternFill patternType="none"/>
    </fill>
    <fill>
      <patternFill patternType="gray125"/>
    </fill>
    <fill>
      <patternFill patternType="solid">
        <fgColor rgb="FFFFCC99"/>
        <bgColor rgb="FFC0C0C0"/>
      </patternFill>
    </fill>
    <fill>
      <patternFill patternType="solid">
        <fgColor rgb="FFFF9900"/>
        <bgColor rgb="FFFFCC00"/>
      </patternFill>
    </fill>
    <fill>
      <patternFill patternType="solid">
        <fgColor rgb="FFFFFF00"/>
        <bgColor rgb="FFFFF200"/>
      </patternFill>
    </fill>
    <fill>
      <patternFill patternType="solid">
        <fgColor rgb="FFCCFFFF"/>
        <bgColor rgb="FFCCFFFF"/>
      </patternFill>
    </fill>
    <fill>
      <patternFill patternType="solid">
        <fgColor rgb="FF99CC00"/>
        <bgColor rgb="FFFFCC00"/>
      </patternFill>
    </fill>
    <fill>
      <patternFill patternType="solid">
        <fgColor rgb="FFFFCC00"/>
        <bgColor rgb="FFFFF200"/>
      </patternFill>
    </fill>
    <fill>
      <patternFill patternType="solid">
        <fgColor rgb="FF969696"/>
        <bgColor rgb="FF999999"/>
      </patternFill>
    </fill>
    <fill>
      <patternFill patternType="solid">
        <fgColor rgb="FF999999"/>
        <bgColor rgb="FF969696"/>
      </patternFill>
    </fill>
    <fill>
      <patternFill patternType="solid">
        <fgColor rgb="FFA5A5A5"/>
        <bgColor rgb="FF999999"/>
      </patternFill>
    </fill>
    <fill>
      <patternFill patternType="solid">
        <fgColor rgb="FFC0C0C0"/>
        <bgColor rgb="FFCCCCFF"/>
      </patternFill>
    </fill>
    <fill>
      <patternFill patternType="solid">
        <fgColor rgb="FF808080"/>
        <bgColor rgb="FF969696"/>
      </patternFill>
    </fill>
    <fill>
      <patternFill patternType="solid">
        <fgColor rgb="FF729FCF"/>
        <bgColor rgb="FF969696"/>
      </patternFill>
    </fill>
    <fill>
      <patternFill patternType="solid">
        <fgColor rgb="FFFFF200"/>
        <bgColor rgb="FFFFFF00"/>
      </patternFill>
    </fill>
    <fill>
      <patternFill patternType="solid">
        <fgColor rgb="FFCCFFCC"/>
        <bgColor rgb="FFCCFFFF"/>
      </patternFill>
    </fill>
  </fills>
  <borders count="42">
    <border diagonalUp="false" diagonalDown="false">
      <left/>
      <right/>
      <top/>
      <bottom/>
      <diagonal/>
    </border>
    <border diagonalUp="false" diagonalDown="false">
      <left style="medium">
        <color rgb="FF4C4C4C"/>
      </left>
      <right style="medium">
        <color rgb="FF4C4C4C"/>
      </right>
      <top style="medium">
        <color rgb="FF4C4C4C"/>
      </top>
      <bottom style="medium">
        <color rgb="FF4C4C4C"/>
      </bottom>
      <diagonal/>
    </border>
    <border diagonalUp="false" diagonalDown="false">
      <left style="medium">
        <color rgb="FF4C4C4C"/>
      </left>
      <right style="medium">
        <color rgb="FF4C4C4C"/>
      </right>
      <top style="medium">
        <color rgb="FF4C4C4C"/>
      </top>
      <bottom style="thin">
        <color rgb="FF4C4C4C"/>
      </bottom>
      <diagonal/>
    </border>
    <border diagonalUp="false" diagonalDown="false">
      <left/>
      <right/>
      <top style="medium">
        <color rgb="FF4C4C4C"/>
      </top>
      <bottom style="medium">
        <color rgb="FF4C4C4C"/>
      </bottom>
      <diagonal/>
    </border>
    <border diagonalUp="false" diagonalDown="false">
      <left/>
      <right/>
      <top style="thin">
        <color rgb="FF4C4C4C"/>
      </top>
      <bottom style="medium">
        <color rgb="FF4C4C4C"/>
      </bottom>
      <diagonal/>
    </border>
    <border diagonalUp="false" diagonalDown="false">
      <left/>
      <right style="thin">
        <color rgb="FF4C4C4C"/>
      </right>
      <top style="thin">
        <color rgb="FF4C4C4C"/>
      </top>
      <bottom style="thin">
        <color rgb="FF4C4C4C"/>
      </bottom>
      <diagonal/>
    </border>
    <border diagonalUp="false" diagonalDown="false">
      <left style="thin">
        <color rgb="FF4C4C4C"/>
      </left>
      <right style="medium">
        <color rgb="FF4C4C4C"/>
      </right>
      <top style="thin">
        <color rgb="FF4C4C4C"/>
      </top>
      <bottom style="medium">
        <color rgb="FF4C4C4C"/>
      </bottom>
      <diagonal/>
    </border>
    <border diagonalUp="false" diagonalDown="false">
      <left/>
      <right style="thin">
        <color rgb="FF4C4C4C"/>
      </right>
      <top style="thin">
        <color rgb="FF4C4C4C"/>
      </top>
      <bottom style="medium">
        <color rgb="FF4C4C4C"/>
      </bottom>
      <diagonal/>
    </border>
    <border diagonalUp="false" diagonalDown="false">
      <left style="medium">
        <color rgb="FF4C4C4C"/>
      </left>
      <right style="thin">
        <color rgb="FF4C4C4C"/>
      </right>
      <top style="thin">
        <color rgb="FF4C4C4C"/>
      </top>
      <bottom style="medium">
        <color rgb="FF4C4C4C"/>
      </bottom>
      <diagonal/>
    </border>
    <border diagonalUp="false" diagonalDown="false">
      <left style="thin">
        <color rgb="FF4C4C4C"/>
      </left>
      <right style="thin">
        <color rgb="FF4C4C4C"/>
      </right>
      <top style="thin">
        <color rgb="FF4C4C4C"/>
      </top>
      <bottom style="medium">
        <color rgb="FF4C4C4C"/>
      </bottom>
      <diagonal/>
    </border>
    <border diagonalUp="false" diagonalDown="false">
      <left style="thin">
        <color rgb="FF4C4C4C"/>
      </left>
      <right style="thin">
        <color rgb="FF4C4C4C"/>
      </right>
      <top style="thin">
        <color rgb="FF4C4C4C"/>
      </top>
      <bottom style="thin">
        <color rgb="FF4C4C4C"/>
      </bottom>
      <diagonal/>
    </border>
    <border diagonalUp="false" diagonalDown="false">
      <left/>
      <right style="medium">
        <color rgb="FF4C4C4C"/>
      </right>
      <top style="thin">
        <color rgb="FF4C4C4C"/>
      </top>
      <bottom style="medium">
        <color rgb="FF4C4C4C"/>
      </bottom>
      <diagonal/>
    </border>
    <border diagonalUp="false" diagonalDown="false">
      <left style="medium">
        <color rgb="FF4C4C4C"/>
      </left>
      <right/>
      <top style="thin">
        <color rgb="FF4C4C4C"/>
      </top>
      <bottom style="medium">
        <color rgb="FF4C4C4C"/>
      </bottom>
      <diagonal/>
    </border>
    <border diagonalUp="false" diagonalDown="false">
      <left/>
      <right/>
      <top style="thin">
        <color rgb="FF4C4C4C"/>
      </top>
      <bottom/>
      <diagonal/>
    </border>
    <border diagonalUp="false" diagonalDown="false">
      <left/>
      <right/>
      <top style="medium">
        <color rgb="FF4C4C4C"/>
      </top>
      <bottom style="thin">
        <color rgb="FF4C4C4C"/>
      </bottom>
      <diagonal/>
    </border>
    <border diagonalUp="false" diagonalDown="false">
      <left style="thin">
        <color rgb="FF4C4C4C"/>
      </left>
      <right style="thin">
        <color rgb="FF4C4C4C"/>
      </right>
      <top style="medium">
        <color rgb="FF4C4C4C"/>
      </top>
      <bottom style="thin">
        <color rgb="FF4C4C4C"/>
      </bottom>
      <diagonal/>
    </border>
    <border diagonalUp="false" diagonalDown="false">
      <left style="thin">
        <color rgb="FF4C4C4C"/>
      </left>
      <right/>
      <top style="medium">
        <color rgb="FF4C4C4C"/>
      </top>
      <bottom style="thin">
        <color rgb="FF4C4C4C"/>
      </bottom>
      <diagonal/>
    </border>
    <border diagonalUp="false" diagonalDown="false">
      <left style="medium">
        <color rgb="FF4C4C4C"/>
      </left>
      <right style="thin">
        <color rgb="FF4C4C4C"/>
      </right>
      <top style="medium">
        <color rgb="FF4C4C4C"/>
      </top>
      <bottom style="thin">
        <color rgb="FF4C4C4C"/>
      </bottom>
      <diagonal/>
    </border>
    <border diagonalUp="false" diagonalDown="false">
      <left/>
      <right style="thin">
        <color rgb="FF4C4C4C"/>
      </right>
      <top style="medium">
        <color rgb="FF4C4C4C"/>
      </top>
      <bottom style="thin">
        <color rgb="FF4C4C4C"/>
      </bottom>
      <diagonal/>
    </border>
    <border diagonalUp="false" diagonalDown="false">
      <left style="thin">
        <color rgb="FF4C4C4C"/>
      </left>
      <right style="medium">
        <color rgb="FF4C4C4C"/>
      </right>
      <top style="medium">
        <color rgb="FF4C4C4C"/>
      </top>
      <bottom style="thin">
        <color rgb="FF4C4C4C"/>
      </bottom>
      <diagonal/>
    </border>
    <border diagonalUp="false" diagonalDown="false">
      <left style="thin">
        <color rgb="FF4C4C4C"/>
      </left>
      <right/>
      <top/>
      <bottom style="thin">
        <color rgb="FF4C4C4C"/>
      </bottom>
      <diagonal/>
    </border>
    <border diagonalUp="false" diagonalDown="false">
      <left/>
      <right style="medium">
        <color rgb="FF4C4C4C"/>
      </right>
      <top style="medium">
        <color rgb="FF4C4C4C"/>
      </top>
      <bottom style="thin">
        <color rgb="FF4C4C4C"/>
      </bottom>
      <diagonal/>
    </border>
    <border diagonalUp="false" diagonalDown="false">
      <left style="thin">
        <color rgb="FF4C4C4C"/>
      </left>
      <right style="thin">
        <color rgb="FF4C4C4C"/>
      </right>
      <top/>
      <bottom/>
      <diagonal/>
    </border>
    <border diagonalUp="false" diagonalDown="false">
      <left style="thin">
        <color rgb="FF4C4C4C"/>
      </left>
      <right/>
      <top/>
      <bottom/>
      <diagonal/>
    </border>
    <border diagonalUp="false" diagonalDown="false">
      <left style="thin">
        <color rgb="FF4C4C4C"/>
      </left>
      <right style="thin">
        <color rgb="FF4C4C4C"/>
      </right>
      <top style="thin">
        <color rgb="FF4C4C4C"/>
      </top>
      <bottom/>
      <diagonal/>
    </border>
    <border diagonalUp="false" diagonalDown="false">
      <left style="medium">
        <color rgb="FF4C4C4C"/>
      </left>
      <right style="thin">
        <color rgb="FF4C4C4C"/>
      </right>
      <top style="thin">
        <color rgb="FF4C4C4C"/>
      </top>
      <bottom/>
      <diagonal/>
    </border>
    <border diagonalUp="false" diagonalDown="false">
      <left/>
      <right style="thin">
        <color rgb="FF4C4C4C"/>
      </right>
      <top style="thin">
        <color rgb="FF4C4C4C"/>
      </top>
      <bottom/>
      <diagonal/>
    </border>
    <border diagonalUp="false" diagonalDown="false">
      <left/>
      <right style="thin">
        <color rgb="FF4C4C4C"/>
      </right>
      <top/>
      <bottom/>
      <diagonal/>
    </border>
    <border diagonalUp="false" diagonalDown="false">
      <left style="thin">
        <color rgb="FF4C4C4C"/>
      </left>
      <right style="medium">
        <color rgb="FF4C4C4C"/>
      </right>
      <top/>
      <bottom/>
      <diagonal/>
    </border>
    <border diagonalUp="false" diagonalDown="false">
      <left style="medium">
        <color rgb="FF4C4C4C"/>
      </left>
      <right style="thin">
        <color rgb="FF4C4C4C"/>
      </right>
      <top/>
      <bottom/>
      <diagonal/>
    </border>
    <border diagonalUp="false" diagonalDown="false">
      <left style="thin">
        <color rgb="FF4C4C4C"/>
      </left>
      <right/>
      <top style="thin">
        <color rgb="FF4C4C4C"/>
      </top>
      <bottom/>
      <diagonal/>
    </border>
    <border diagonalUp="false" diagonalDown="false">
      <left style="thin">
        <color rgb="FF3C3C3C"/>
      </left>
      <right style="thin">
        <color rgb="FF3C3C3C"/>
      </right>
      <top/>
      <bottom/>
      <diagonal/>
    </border>
    <border diagonalUp="false" diagonalDown="false">
      <left style="thin">
        <color rgb="FF4C4C4C"/>
      </left>
      <right style="medium">
        <color rgb="FF4C4C4C"/>
      </right>
      <top style="thin">
        <color rgb="FF4C4C4C"/>
      </top>
      <bottom/>
      <diagonal/>
    </border>
    <border diagonalUp="false" diagonalDown="false">
      <left/>
      <right style="medium"/>
      <top/>
      <bottom/>
      <diagonal/>
    </border>
    <border diagonalUp="false" diagonalDown="false">
      <left style="medium">
        <color rgb="FF4C4C4C"/>
      </left>
      <right/>
      <top/>
      <bottom/>
      <diagonal/>
    </border>
    <border diagonalUp="false" diagonalDown="false">
      <left style="thin">
        <color rgb="FF4C4C4C"/>
      </left>
      <right style="medium"/>
      <top/>
      <bottom/>
      <diagonal/>
    </border>
    <border diagonalUp="false" diagonalDown="false">
      <left style="thin"/>
      <right style="thin"/>
      <top/>
      <bottom/>
      <diagonal/>
    </border>
    <border diagonalUp="false" diagonalDown="false">
      <left style="thin"/>
      <right style="medium">
        <color rgb="FF4C4C4C"/>
      </right>
      <top/>
      <bottom/>
      <diagonal/>
    </border>
    <border diagonalUp="false" diagonalDown="false">
      <left style="thin"/>
      <right style="medium"/>
      <top/>
      <bottom/>
      <diagonal/>
    </border>
    <border diagonalUp="false" diagonalDown="false">
      <left/>
      <right style="medium">
        <color rgb="FF4C4C4C"/>
      </right>
      <top style="medium">
        <color rgb="FF4C4C4C"/>
      </top>
      <bottom style="medium">
        <color rgb="FF4C4C4C"/>
      </bottom>
      <diagonal/>
    </border>
    <border diagonalUp="false" diagonalDown="false">
      <left style="medium">
        <color rgb="FF4C4C4C"/>
      </left>
      <right style="medium">
        <color rgb="FF4C4C4C"/>
      </right>
      <top style="thin">
        <color rgb="FF4C4C4C"/>
      </top>
      <bottom style="thin">
        <color rgb="FF4C4C4C"/>
      </bottom>
      <diagonal/>
    </border>
    <border diagonalUp="false" diagonalDown="false">
      <left style="medium">
        <color rgb="FF4C4C4C"/>
      </left>
      <right style="medium">
        <color rgb="FF4C4C4C"/>
      </right>
      <top/>
      <bottom style="medium">
        <color rgb="FF4C4C4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5" fontId="4" fillId="0" borderId="2"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5" fontId="4" fillId="0"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6" fontId="4" fillId="0" borderId="1" xfId="0" applyFont="true" applyBorder="true" applyAlignment="true" applyProtection="true">
      <alignment horizontal="center" vertical="center" textRotation="0" wrapText="false" indent="0" shrinkToFit="false"/>
      <protection locked="true" hidden="false"/>
    </xf>
    <xf numFmtId="166" fontId="4" fillId="0" borderId="2" xfId="0" applyFont="true" applyBorder="true" applyAlignment="true" applyProtection="true">
      <alignment horizontal="center" vertical="center" textRotation="0" wrapText="false" indent="0" shrinkToFit="false"/>
      <protection locked="true" hidden="false"/>
    </xf>
    <xf numFmtId="166" fontId="6" fillId="0" borderId="1" xfId="0" applyFont="true" applyBorder="true" applyAlignment="true" applyProtection="true">
      <alignment horizontal="center" vertical="center" textRotation="0" wrapText="false" indent="0" shrinkToFit="false"/>
      <protection locked="true" hidden="false"/>
    </xf>
    <xf numFmtId="166" fontId="4" fillId="0" borderId="1" xfId="0" applyFont="true" applyBorder="true" applyAlignment="true" applyProtection="true">
      <alignment horizontal="center" vertical="center" textRotation="0" wrapText="true" indent="0" shrinkToFit="false"/>
      <protection locked="true" hidden="false"/>
    </xf>
    <xf numFmtId="166" fontId="4" fillId="0" borderId="3"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true" indent="0" shrinkToFit="false"/>
      <protection locked="true" hidden="false"/>
    </xf>
    <xf numFmtId="164" fontId="4" fillId="2" borderId="4" xfId="0" applyFont="true" applyBorder="true" applyAlignment="true" applyProtection="true">
      <alignment horizontal="center" vertical="bottom" textRotation="0" wrapText="false" indent="0" shrinkToFit="false"/>
      <protection locked="true" hidden="false"/>
    </xf>
    <xf numFmtId="164" fontId="10" fillId="0" borderId="4" xfId="0" applyFont="true" applyBorder="true" applyAlignment="true" applyProtection="true">
      <alignment horizontal="left" vertical="bottom" textRotation="0" wrapText="false" indent="0" shrinkToFit="false"/>
      <protection locked="true" hidden="false"/>
    </xf>
    <xf numFmtId="165" fontId="4" fillId="2" borderId="5" xfId="0" applyFont="true" applyBorder="true" applyAlignment="true" applyProtection="true">
      <alignment horizontal="center" vertical="bottom" textRotation="0" wrapText="false" indent="0" shrinkToFit="false"/>
      <protection locked="true" hidden="false"/>
    </xf>
    <xf numFmtId="164" fontId="0" fillId="0" borderId="6" xfId="0" applyFont="true" applyBorder="true" applyAlignment="true" applyProtection="true">
      <alignment horizontal="center" vertical="bottom" textRotation="0" wrapText="false" indent="0" shrinkToFit="false"/>
      <protection locked="true" hidden="false"/>
    </xf>
    <xf numFmtId="164" fontId="4" fillId="2" borderId="7"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bottom" textRotation="0" wrapText="false" indent="0" shrinkToFit="false"/>
      <protection locked="true" hidden="false"/>
    </xf>
    <xf numFmtId="167" fontId="4" fillId="2" borderId="8" xfId="0" applyFont="true" applyBorder="true" applyAlignment="true" applyProtection="true">
      <alignment horizontal="center" vertical="bottom" textRotation="0" wrapText="false" indent="0" shrinkToFit="false"/>
      <protection locked="true" hidden="false"/>
    </xf>
    <xf numFmtId="167" fontId="0" fillId="0" borderId="4" xfId="0" applyFont="true" applyBorder="true" applyAlignment="true" applyProtection="true">
      <alignment horizontal="left" vertical="bottom" textRotation="0" wrapText="false" indent="0" shrinkToFit="false"/>
      <protection locked="true" hidden="false"/>
    </xf>
    <xf numFmtId="164" fontId="0" fillId="0" borderId="4" xfId="0" applyFont="true" applyBorder="true" applyAlignment="true" applyProtection="true">
      <alignment horizontal="center" vertical="bottom" textRotation="0" wrapText="false" indent="0" shrinkToFit="false"/>
      <protection locked="true" hidden="false"/>
    </xf>
    <xf numFmtId="167" fontId="0" fillId="0" borderId="4" xfId="0" applyFont="true" applyBorder="true" applyAlignment="true" applyProtection="true">
      <alignment horizontal="center" vertical="bottom" textRotation="0" wrapText="false" indent="0" shrinkToFit="false"/>
      <protection locked="true" hidden="false"/>
    </xf>
    <xf numFmtId="167" fontId="4" fillId="0" borderId="4" xfId="0" applyFont="true" applyBorder="true" applyAlignment="true" applyProtection="true">
      <alignment horizontal="center" vertical="bottom" textRotation="0" wrapText="false" indent="0" shrinkToFit="false"/>
      <protection locked="true" hidden="false"/>
    </xf>
    <xf numFmtId="167" fontId="4" fillId="3" borderId="9" xfId="0" applyFont="true" applyBorder="true" applyAlignment="true" applyProtection="true">
      <alignment horizontal="center" vertical="bottom" textRotation="0" wrapText="false" indent="0" shrinkToFit="false"/>
      <protection locked="true" hidden="false"/>
    </xf>
    <xf numFmtId="167" fontId="0" fillId="3" borderId="10" xfId="0" applyFont="true" applyBorder="true" applyAlignment="true" applyProtection="true">
      <alignment horizontal="center" vertical="bottom" textRotation="0" wrapText="false" indent="0" shrinkToFit="false"/>
      <protection locked="true" hidden="false"/>
    </xf>
    <xf numFmtId="167" fontId="10" fillId="4" borderId="11" xfId="0" applyFont="true" applyBorder="true" applyAlignment="true" applyProtection="true">
      <alignment horizontal="center" vertical="bottom" textRotation="0" wrapText="false" indent="0" shrinkToFit="false"/>
      <protection locked="true" hidden="false"/>
    </xf>
    <xf numFmtId="166" fontId="0" fillId="0" borderId="12" xfId="0" applyFont="true" applyBorder="true" applyAlignment="true" applyProtection="true">
      <alignment horizontal="center" vertical="bottom" textRotation="0" wrapText="false" indent="0" shrinkToFit="false"/>
      <protection locked="true" hidden="false"/>
    </xf>
    <xf numFmtId="166" fontId="0" fillId="0" borderId="4" xfId="0" applyFont="true" applyBorder="true" applyAlignment="true" applyProtection="true">
      <alignment horizontal="center" vertical="bottom" textRotation="0" wrapText="false" indent="0" shrinkToFit="false"/>
      <protection locked="true" hidden="false"/>
    </xf>
    <xf numFmtId="166" fontId="0" fillId="0" borderId="4" xfId="0" applyFont="true" applyBorder="true" applyAlignment="true" applyProtection="true">
      <alignment horizontal="center" vertical="center" textRotation="0" wrapText="false" indent="0" shrinkToFit="false"/>
      <protection locked="true" hidden="false"/>
    </xf>
    <xf numFmtId="166" fontId="0" fillId="0" borderId="4" xfId="0" applyFont="true" applyBorder="true" applyAlignment="true" applyProtection="true">
      <alignment horizontal="left" vertical="bottom"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5" fontId="0" fillId="0" borderId="11" xfId="0" applyFont="true" applyBorder="true" applyAlignment="true" applyProtection="true">
      <alignment horizontal="center" vertical="bottom" textRotation="0" wrapText="false" indent="0" shrinkToFit="false"/>
      <protection locked="true" hidden="false"/>
    </xf>
    <xf numFmtId="165" fontId="4" fillId="2" borderId="14" xfId="0" applyFont="true" applyBorder="true" applyAlignment="true" applyProtection="true">
      <alignment horizontal="center" vertical="bottom" textRotation="0" wrapText="false" indent="0" shrinkToFit="false"/>
      <protection locked="true" hidden="false"/>
    </xf>
    <xf numFmtId="165" fontId="4" fillId="2" borderId="15" xfId="0" applyFont="true" applyBorder="true" applyAlignment="true" applyProtection="true">
      <alignment horizontal="center" vertical="bottom" textRotation="0" wrapText="false" indent="0" shrinkToFit="false"/>
      <protection locked="true" hidden="false"/>
    </xf>
    <xf numFmtId="165" fontId="4" fillId="2" borderId="16" xfId="0" applyFont="true" applyBorder="true" applyAlignment="true" applyProtection="true">
      <alignment horizontal="center" vertical="bottom" textRotation="0" wrapText="false" indent="0" shrinkToFit="false"/>
      <protection locked="true" hidden="false"/>
    </xf>
    <xf numFmtId="165" fontId="4" fillId="2" borderId="15" xfId="0" applyFont="true" applyBorder="true" applyAlignment="true" applyProtection="true">
      <alignment horizontal="left" vertical="bottom" textRotation="0" wrapText="false" indent="0" shrinkToFit="false"/>
      <protection locked="true" hidden="false"/>
    </xf>
    <xf numFmtId="165" fontId="4" fillId="2" borderId="16" xfId="0" applyFont="true" applyBorder="true" applyAlignment="true" applyProtection="true">
      <alignment horizontal="left" vertical="bottom" textRotation="0" wrapText="false" indent="0" shrinkToFit="false"/>
      <protection locked="true" hidden="false"/>
    </xf>
    <xf numFmtId="167" fontId="4" fillId="2" borderId="17" xfId="0" applyFont="true" applyBorder="true" applyAlignment="true" applyProtection="true">
      <alignment horizontal="center" vertical="bottom" textRotation="0" wrapText="false" indent="0" shrinkToFit="false"/>
      <protection locked="true" hidden="false"/>
    </xf>
    <xf numFmtId="165" fontId="4" fillId="5" borderId="18" xfId="0" applyFont="true" applyBorder="true" applyAlignment="true" applyProtection="true">
      <alignment horizontal="center" vertical="bottom" textRotation="0" wrapText="false" indent="0" shrinkToFit="false"/>
      <protection locked="true" hidden="false"/>
    </xf>
    <xf numFmtId="165" fontId="4" fillId="5" borderId="15" xfId="0" applyFont="true" applyBorder="true" applyAlignment="true" applyProtection="true">
      <alignment horizontal="center" vertical="bottom" textRotation="0" wrapText="false" indent="0" shrinkToFit="false"/>
      <protection locked="true" hidden="false"/>
    </xf>
    <xf numFmtId="164" fontId="6" fillId="2" borderId="19" xfId="0" applyFont="true" applyBorder="true" applyAlignment="true" applyProtection="true">
      <alignment horizontal="center" vertical="bottom" textRotation="0" wrapText="false" indent="0" shrinkToFit="false"/>
      <protection locked="true" hidden="false"/>
    </xf>
    <xf numFmtId="165" fontId="4" fillId="5" borderId="20" xfId="0" applyFont="true" applyBorder="true" applyAlignment="true" applyProtection="true">
      <alignment horizontal="center" vertical="bottom" textRotation="0" wrapText="false" indent="0" shrinkToFit="false"/>
      <protection locked="true" hidden="false"/>
    </xf>
    <xf numFmtId="164" fontId="4" fillId="2" borderId="19" xfId="0" applyFont="true" applyBorder="true" applyAlignment="true" applyProtection="true">
      <alignment horizontal="center" vertical="bottom" textRotation="0" wrapText="false" indent="0" shrinkToFit="false"/>
      <protection locked="true" hidden="false"/>
    </xf>
    <xf numFmtId="166" fontId="4" fillId="2" borderId="17" xfId="0" applyFont="true" applyBorder="true" applyAlignment="true" applyProtection="true">
      <alignment horizontal="center" vertical="bottom" textRotation="0" wrapText="false" indent="0" shrinkToFit="false"/>
      <protection locked="true" hidden="false"/>
    </xf>
    <xf numFmtId="166" fontId="4" fillId="2" borderId="18" xfId="0" applyFont="true" applyBorder="true" applyAlignment="true" applyProtection="true">
      <alignment horizontal="center" vertical="bottom" textRotation="0" wrapText="false" indent="0" shrinkToFit="false"/>
      <protection locked="true" hidden="false"/>
    </xf>
    <xf numFmtId="166" fontId="4" fillId="2" borderId="15" xfId="0" applyFont="true" applyBorder="true" applyAlignment="true" applyProtection="true">
      <alignment horizontal="center" vertical="center" textRotation="0" wrapText="false" indent="0" shrinkToFit="false"/>
      <protection locked="true" hidden="false"/>
    </xf>
    <xf numFmtId="166" fontId="6" fillId="2" borderId="15" xfId="0" applyFont="true" applyBorder="true" applyAlignment="true" applyProtection="true">
      <alignment horizontal="center" vertical="center" textRotation="0" wrapText="false" indent="0" shrinkToFit="false"/>
      <protection locked="true" hidden="false"/>
    </xf>
    <xf numFmtId="166" fontId="4" fillId="2" borderId="16" xfId="0" applyFont="true" applyBorder="true" applyAlignment="true" applyProtection="true">
      <alignment horizontal="center" vertical="center" textRotation="0" wrapText="false" indent="0" shrinkToFit="false"/>
      <protection locked="true" hidden="false"/>
    </xf>
    <xf numFmtId="166" fontId="4" fillId="2" borderId="14" xfId="0" applyFont="true" applyBorder="true" applyAlignment="true" applyProtection="true">
      <alignment horizontal="center" vertical="center" textRotation="0" wrapText="false" indent="0" shrinkToFit="false"/>
      <protection locked="true" hidden="false"/>
    </xf>
    <xf numFmtId="166" fontId="4" fillId="2" borderId="21" xfId="0" applyFont="true" applyBorder="true" applyAlignment="true" applyProtection="true">
      <alignment horizontal="center" vertical="center" textRotation="0" wrapText="false" indent="0" shrinkToFit="false"/>
      <protection locked="true" hidden="false"/>
    </xf>
    <xf numFmtId="166" fontId="4" fillId="2" borderId="18" xfId="0" applyFont="true" applyBorder="true" applyAlignment="true" applyProtection="true">
      <alignment horizontal="center" vertical="center" textRotation="0" wrapText="false" indent="0" shrinkToFit="false"/>
      <protection locked="true" hidden="false"/>
    </xf>
    <xf numFmtId="166" fontId="4" fillId="6" borderId="15" xfId="0" applyFont="true" applyBorder="true" applyAlignment="true" applyProtection="true">
      <alignment horizontal="center" vertical="center" textRotation="0" wrapText="false" indent="0" shrinkToFit="false"/>
      <protection locked="true" hidden="false"/>
    </xf>
    <xf numFmtId="166" fontId="4" fillId="2" borderId="15" xfId="0" applyFont="true" applyBorder="true" applyAlignment="true" applyProtection="true">
      <alignment horizontal="center" vertical="bottom" textRotation="0" wrapText="false" indent="0" shrinkToFit="false"/>
      <protection locked="true" hidden="false"/>
    </xf>
    <xf numFmtId="164" fontId="4" fillId="2" borderId="15" xfId="0" applyFont="true" applyBorder="true" applyAlignment="true" applyProtection="true">
      <alignment horizontal="left" vertical="bottom" textRotation="0" wrapText="false" indent="0" shrinkToFit="false"/>
      <protection locked="true" hidden="false"/>
    </xf>
    <xf numFmtId="166" fontId="4" fillId="6" borderId="18" xfId="0" applyFont="true" applyBorder="true" applyAlignment="true" applyProtection="true">
      <alignment horizontal="center" vertical="bottom" textRotation="0" wrapText="false" indent="0" shrinkToFit="false"/>
      <protection locked="true" hidden="false"/>
    </xf>
    <xf numFmtId="165" fontId="4" fillId="6" borderId="18" xfId="0" applyFont="true" applyBorder="true" applyAlignment="true" applyProtection="true">
      <alignment horizontal="center" vertical="center" textRotation="0" wrapText="false" indent="0" shrinkToFit="false"/>
      <protection locked="true" hidden="false"/>
    </xf>
    <xf numFmtId="165" fontId="4" fillId="6" borderId="15"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8" fontId="0" fillId="0" borderId="22" xfId="0" applyFont="true" applyBorder="true" applyAlignment="true" applyProtection="true">
      <alignment horizontal="center" vertical="bottom" textRotation="0" wrapText="false" indent="0" shrinkToFit="false"/>
      <protection locked="true" hidden="false"/>
    </xf>
    <xf numFmtId="169" fontId="0" fillId="0" borderId="23" xfId="0" applyFont="true" applyBorder="true" applyAlignment="true" applyProtection="true">
      <alignment horizontal="center" vertical="bottom" textRotation="0" wrapText="false" indent="0" shrinkToFit="false"/>
      <protection locked="true" hidden="false"/>
    </xf>
    <xf numFmtId="165" fontId="0" fillId="4" borderId="24" xfId="0" applyFont="true" applyBorder="true" applyAlignment="true" applyProtection="true">
      <alignment horizontal="center" vertical="bottom" textRotation="0" wrapText="false" indent="0" shrinkToFit="false"/>
      <protection locked="true" hidden="false"/>
    </xf>
    <xf numFmtId="168" fontId="0" fillId="4" borderId="22" xfId="0" applyFont="true" applyBorder="true" applyAlignment="true" applyProtection="true">
      <alignment horizontal="center" vertical="bottom" textRotation="0" wrapText="false" indent="0" shrinkToFit="false"/>
      <protection locked="true" hidden="false"/>
    </xf>
    <xf numFmtId="167" fontId="0" fillId="0" borderId="25" xfId="0" applyFont="true" applyBorder="true" applyAlignment="true" applyProtection="true">
      <alignment horizontal="center" vertical="bottom" textRotation="0" wrapText="false" indent="0" shrinkToFit="false"/>
      <protection locked="true" hidden="false"/>
    </xf>
    <xf numFmtId="167" fontId="0" fillId="0" borderId="26" xfId="0" applyFont="true" applyBorder="true" applyAlignment="true" applyProtection="true">
      <alignment horizontal="center" vertical="bottom" textRotation="0" wrapText="false" indent="0" shrinkToFit="false"/>
      <protection locked="true" hidden="false"/>
    </xf>
    <xf numFmtId="167" fontId="0" fillId="0" borderId="24" xfId="0" applyFont="true" applyBorder="true" applyAlignment="true" applyProtection="true">
      <alignment horizontal="center" vertical="bottom" textRotation="0" wrapText="false" indent="0" shrinkToFit="false"/>
      <protection locked="true" hidden="false"/>
    </xf>
    <xf numFmtId="167" fontId="0" fillId="0" borderId="27" xfId="0" applyFont="true" applyBorder="true" applyAlignment="true" applyProtection="true">
      <alignment horizontal="center" vertical="bottom" textRotation="0" wrapText="false" indent="0" shrinkToFit="false"/>
      <protection locked="true" hidden="false"/>
    </xf>
    <xf numFmtId="165" fontId="0" fillId="0" borderId="22" xfId="0" applyFont="true" applyBorder="true" applyAlignment="true" applyProtection="true">
      <alignment horizontal="center" vertical="bottom" textRotation="0" wrapText="false" indent="0" shrinkToFit="false"/>
      <protection locked="true" hidden="false"/>
    </xf>
    <xf numFmtId="165" fontId="0" fillId="0" borderId="23" xfId="0" applyFont="true" applyBorder="true" applyAlignment="true" applyProtection="true">
      <alignment horizontal="center" vertical="bottom" textRotation="0" wrapText="false" indent="0" shrinkToFit="false"/>
      <protection locked="true" hidden="false"/>
    </xf>
    <xf numFmtId="164" fontId="0" fillId="0" borderId="28" xfId="0" applyFont="true" applyBorder="true" applyAlignment="true" applyProtection="true">
      <alignment horizontal="center" vertical="bottom" textRotation="0" wrapText="false" indent="0" shrinkToFit="false"/>
      <protection locked="true" hidden="false"/>
    </xf>
    <xf numFmtId="166" fontId="0" fillId="0" borderId="29" xfId="0" applyFont="true" applyBorder="true" applyAlignment="true" applyProtection="true">
      <alignment horizontal="center" vertical="bottom" textRotation="0" wrapText="false" indent="0" shrinkToFit="false"/>
      <protection locked="true" hidden="false"/>
    </xf>
    <xf numFmtId="166" fontId="0" fillId="0" borderId="27" xfId="0" applyFont="true" applyBorder="true" applyAlignment="true" applyProtection="true">
      <alignment horizontal="center" vertical="bottom" textRotation="0" wrapText="false" indent="0" shrinkToFit="false"/>
      <protection locked="true" hidden="false"/>
    </xf>
    <xf numFmtId="166" fontId="0" fillId="0" borderId="22" xfId="0" applyFont="true" applyBorder="true" applyAlignment="true" applyProtection="true">
      <alignment horizontal="center" vertical="bottom" textRotation="0" wrapText="false" indent="0" shrinkToFit="false"/>
      <protection locked="true" hidden="false"/>
    </xf>
    <xf numFmtId="166" fontId="0" fillId="0" borderId="28" xfId="0" applyFont="true" applyBorder="true" applyAlignment="true" applyProtection="true">
      <alignment horizontal="center" vertical="bottom" textRotation="0" wrapText="false" indent="0" shrinkToFit="false"/>
      <protection locked="true" hidden="false"/>
    </xf>
    <xf numFmtId="166" fontId="0" fillId="0" borderId="22" xfId="0" applyFont="true" applyBorder="true" applyAlignment="true" applyProtection="true">
      <alignment horizontal="center" vertical="center" textRotation="0" wrapText="false" indent="0" shrinkToFit="false"/>
      <protection locked="true" hidden="false"/>
    </xf>
    <xf numFmtId="166" fontId="0" fillId="0" borderId="22" xfId="0" applyFont="true" applyBorder="true" applyAlignment="true" applyProtection="true">
      <alignment horizontal="left" vertical="bottom" textRotation="0" wrapText="false" indent="0" shrinkToFit="false"/>
      <protection locked="true" hidden="false"/>
    </xf>
    <xf numFmtId="167" fontId="0" fillId="0" borderId="30" xfId="0" applyFont="true" applyBorder="true" applyAlignment="true" applyProtection="true">
      <alignment horizontal="center" vertical="bottom" textRotation="0" wrapText="false" indent="0" shrinkToFit="false"/>
      <protection locked="true" hidden="false"/>
    </xf>
    <xf numFmtId="165" fontId="0" fillId="0" borderId="28" xfId="0" applyFont="true" applyBorder="true" applyAlignment="true" applyProtection="true">
      <alignment horizontal="center" vertical="bottom" textRotation="0" wrapText="false" indent="0" shrinkToFit="false"/>
      <protection locked="true" hidden="false"/>
    </xf>
    <xf numFmtId="170" fontId="0" fillId="0" borderId="22" xfId="0" applyFont="true" applyBorder="true" applyAlignment="true" applyProtection="true">
      <alignment horizontal="center" vertical="bottom" textRotation="0" wrapText="false" indent="0" shrinkToFit="false"/>
      <protection locked="true" hidden="false"/>
    </xf>
    <xf numFmtId="169" fontId="0" fillId="0" borderId="0" xfId="0" applyFont="true" applyBorder="false" applyAlignment="true" applyProtection="true">
      <alignment horizontal="center" vertical="bottom" textRotation="0" wrapText="false" indent="0" shrinkToFit="false"/>
      <protection locked="true" hidden="false"/>
    </xf>
    <xf numFmtId="167" fontId="0" fillId="0" borderId="29" xfId="0" applyFont="true" applyBorder="true" applyAlignment="true" applyProtection="true">
      <alignment horizontal="center" vertical="bottom" textRotation="0" wrapText="false" indent="0" shrinkToFit="false"/>
      <protection locked="true" hidden="false"/>
    </xf>
    <xf numFmtId="167" fontId="0" fillId="0" borderId="22" xfId="0" applyFont="true" applyBorder="true" applyAlignment="true" applyProtection="true">
      <alignment horizontal="center" vertical="bottom" textRotation="0" wrapText="false" indent="0" shrinkToFit="false"/>
      <protection locked="true" hidden="false"/>
    </xf>
    <xf numFmtId="166" fontId="0" fillId="0" borderId="23" xfId="0" applyFont="true" applyBorder="true" applyAlignment="true" applyProtection="true">
      <alignment horizontal="center" vertical="bottom" textRotation="0" wrapText="false" indent="0" shrinkToFit="false"/>
      <protection locked="true" hidden="false"/>
    </xf>
    <xf numFmtId="164" fontId="0" fillId="0" borderId="22" xfId="0" applyFont="true" applyBorder="true" applyAlignment="true" applyProtection="true">
      <alignment horizontal="center" vertical="bottom" textRotation="0" wrapText="false" indent="0" shrinkToFit="false"/>
      <protection locked="true" hidden="false"/>
    </xf>
    <xf numFmtId="167" fontId="0" fillId="0" borderId="23" xfId="0" applyFont="true" applyBorder="true" applyAlignment="true" applyProtection="true">
      <alignment horizontal="center" vertical="bottom" textRotation="0" wrapText="false" indent="0" shrinkToFit="false"/>
      <protection locked="true" hidden="false"/>
    </xf>
    <xf numFmtId="165" fontId="10" fillId="0" borderId="22" xfId="0" applyFont="true" applyBorder="true" applyAlignment="true" applyProtection="true">
      <alignment horizontal="center" vertical="bottom" textRotation="0" wrapText="false" indent="0" shrinkToFit="false"/>
      <protection locked="true" hidden="false"/>
    </xf>
    <xf numFmtId="170" fontId="0" fillId="0" borderId="29" xfId="0" applyFont="true" applyBorder="true" applyAlignment="true" applyProtection="true">
      <alignment horizontal="center" vertical="bottom" textRotation="0" wrapText="false" indent="0" shrinkToFit="false"/>
      <protection locked="true" hidden="false"/>
    </xf>
    <xf numFmtId="164" fontId="0" fillId="0" borderId="28" xfId="0" applyFont="true" applyBorder="true" applyAlignment="true" applyProtection="true">
      <alignment horizontal="left" vertical="bottom" textRotation="0" wrapText="false" indent="0" shrinkToFit="false"/>
      <protection locked="true" hidden="false"/>
    </xf>
    <xf numFmtId="170" fontId="0" fillId="7" borderId="22"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center" vertical="center" textRotation="0" wrapText="false" indent="0" shrinkToFit="false"/>
      <protection locked="true" hidden="false"/>
    </xf>
    <xf numFmtId="166" fontId="0" fillId="4" borderId="31"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false" indent="0" shrinkToFit="false"/>
      <protection locked="true" hidden="false"/>
    </xf>
    <xf numFmtId="170" fontId="0" fillId="0" borderId="27" xfId="0" applyFont="true" applyBorder="true" applyAlignment="true" applyProtection="true">
      <alignment horizontal="center" vertical="bottom" textRotation="0" wrapText="false" indent="0" shrinkToFit="false"/>
      <protection locked="true" hidden="false"/>
    </xf>
    <xf numFmtId="166" fontId="0" fillId="0" borderId="28" xfId="0" applyFont="true" applyBorder="true" applyAlignment="true" applyProtection="true">
      <alignment horizontal="left" vertical="bottom" textRotation="0" wrapText="false" indent="0" shrinkToFit="false"/>
      <protection locked="true" hidden="false"/>
    </xf>
    <xf numFmtId="165" fontId="0" fillId="8" borderId="22" xfId="0" applyFont="true" applyBorder="true" applyAlignment="true" applyProtection="true">
      <alignment horizontal="center" vertical="bottom" textRotation="0" wrapText="false" indent="0" shrinkToFit="false"/>
      <protection locked="true" hidden="false"/>
    </xf>
    <xf numFmtId="166" fontId="0" fillId="8" borderId="22" xfId="0" applyFont="true" applyBorder="true" applyAlignment="true" applyProtection="true">
      <alignment horizontal="center" vertical="bottom" textRotation="0" wrapText="false" indent="0" shrinkToFit="false"/>
      <protection locked="true" hidden="false"/>
    </xf>
    <xf numFmtId="165" fontId="0" fillId="8" borderId="27" xfId="0" applyFont="true" applyBorder="true" applyAlignment="true" applyProtection="true">
      <alignment horizontal="center" vertical="bottom" textRotation="0" wrapText="false" indent="0" shrinkToFit="false"/>
      <protection locked="true" hidden="false"/>
    </xf>
    <xf numFmtId="166" fontId="0" fillId="8" borderId="23" xfId="0" applyFont="true" applyBorder="true" applyAlignment="true" applyProtection="true">
      <alignment horizontal="center" vertical="bottom" textRotation="0" wrapText="false" indent="0" shrinkToFit="false"/>
      <protection locked="true" hidden="false"/>
    </xf>
    <xf numFmtId="164" fontId="0" fillId="8" borderId="22" xfId="0" applyFont="true" applyBorder="true" applyAlignment="true" applyProtection="true">
      <alignment horizontal="center" vertical="bottom" textRotation="0" wrapText="false" indent="0" shrinkToFit="false"/>
      <protection locked="true" hidden="false"/>
    </xf>
    <xf numFmtId="165" fontId="0" fillId="8" borderId="23" xfId="0" applyFont="true" applyBorder="true" applyAlignment="true" applyProtection="true">
      <alignment horizontal="center" vertical="bottom" textRotation="0" wrapText="false" indent="0" shrinkToFit="false"/>
      <protection locked="true" hidden="false"/>
    </xf>
    <xf numFmtId="166" fontId="0" fillId="8" borderId="28" xfId="0" applyFont="true" applyBorder="true" applyAlignment="true" applyProtection="true">
      <alignment horizontal="left" vertical="bottom" textRotation="0" wrapText="false" indent="0" shrinkToFit="false"/>
      <protection locked="true" hidden="false"/>
    </xf>
    <xf numFmtId="166" fontId="0" fillId="8" borderId="29" xfId="0" applyFont="true" applyBorder="true" applyAlignment="true" applyProtection="true">
      <alignment horizontal="center" vertical="bottom" textRotation="0" wrapText="false" indent="0" shrinkToFit="false"/>
      <protection locked="true" hidden="false"/>
    </xf>
    <xf numFmtId="166" fontId="0" fillId="8" borderId="27" xfId="0" applyFont="true" applyBorder="true" applyAlignment="true" applyProtection="true">
      <alignment horizontal="center" vertical="bottom" textRotation="0" wrapText="false" indent="0" shrinkToFit="false"/>
      <protection locked="true" hidden="false"/>
    </xf>
    <xf numFmtId="170" fontId="0" fillId="8" borderId="22" xfId="0" applyFont="true" applyBorder="true" applyAlignment="true" applyProtection="true">
      <alignment horizontal="center" vertical="bottom" textRotation="0" wrapText="false" indent="0" shrinkToFit="false"/>
      <protection locked="true" hidden="false"/>
    </xf>
    <xf numFmtId="166" fontId="0" fillId="8" borderId="22" xfId="0" applyFont="true" applyBorder="true" applyAlignment="true" applyProtection="true">
      <alignment horizontal="center" vertical="center" textRotation="0" wrapText="false" indent="0" shrinkToFit="false"/>
      <protection locked="true" hidden="false"/>
    </xf>
    <xf numFmtId="166" fontId="0" fillId="8" borderId="31" xfId="0" applyFont="true" applyBorder="true" applyAlignment="true" applyProtection="true">
      <alignment horizontal="center" vertical="bottom" textRotation="0" wrapText="false" indent="0" shrinkToFit="false"/>
      <protection locked="true" hidden="false"/>
    </xf>
    <xf numFmtId="166" fontId="0" fillId="8" borderId="22" xfId="0" applyFont="true" applyBorder="true" applyAlignment="true" applyProtection="true">
      <alignment horizontal="left" vertical="bottom" textRotation="0" wrapText="false" indent="0" shrinkToFit="false"/>
      <protection locked="true" hidden="false"/>
    </xf>
    <xf numFmtId="166" fontId="0" fillId="8" borderId="28" xfId="0" applyFont="true" applyBorder="true" applyAlignment="true" applyProtection="true">
      <alignment horizontal="center" vertical="bottom" textRotation="0" wrapText="false" indent="0" shrinkToFit="false"/>
      <protection locked="true" hidden="false"/>
    </xf>
    <xf numFmtId="165" fontId="0" fillId="8" borderId="28" xfId="0" applyFont="true" applyBorder="true" applyAlignment="true" applyProtection="true">
      <alignment horizontal="center" vertical="bottom" textRotation="0" wrapText="false" indent="0" shrinkToFit="false"/>
      <protection locked="true" hidden="false"/>
    </xf>
    <xf numFmtId="168" fontId="0" fillId="8" borderId="22" xfId="0" applyFont="true" applyBorder="true" applyAlignment="true" applyProtection="true">
      <alignment horizontal="center" vertical="bottom" textRotation="0" wrapText="false" indent="0" shrinkToFit="false"/>
      <protection locked="true" hidden="false"/>
    </xf>
    <xf numFmtId="169" fontId="0" fillId="8" borderId="0" xfId="0" applyFont="true" applyBorder="true" applyAlignment="true" applyProtection="true">
      <alignment horizontal="center" vertical="bottom" textRotation="0" wrapText="false" indent="0" shrinkToFit="false"/>
      <protection locked="true" hidden="false"/>
    </xf>
    <xf numFmtId="167" fontId="0" fillId="8" borderId="29" xfId="0" applyFont="true" applyBorder="true" applyAlignment="true" applyProtection="true">
      <alignment horizontal="center" vertical="bottom" textRotation="0" wrapText="false" indent="0" shrinkToFit="false"/>
      <protection locked="true" hidden="false"/>
    </xf>
    <xf numFmtId="166" fontId="0" fillId="9" borderId="22" xfId="0" applyFont="true" applyBorder="true" applyAlignment="true" applyProtection="true">
      <alignment horizontal="center" vertical="bottom" textRotation="0" wrapText="false" indent="0" shrinkToFit="false"/>
      <protection locked="true" hidden="false"/>
    </xf>
    <xf numFmtId="165" fontId="0" fillId="8" borderId="22" xfId="0" applyFont="true" applyBorder="true" applyAlignment="true" applyProtection="true">
      <alignment horizontal="center" vertical="center" textRotation="0" wrapText="false" indent="0" shrinkToFit="false"/>
      <protection locked="true" hidden="false"/>
    </xf>
    <xf numFmtId="170" fontId="0" fillId="8" borderId="29" xfId="0" applyFont="true" applyBorder="true" applyAlignment="true" applyProtection="true">
      <alignment horizontal="center" vertical="bottom" textRotation="0" wrapText="false" indent="0" shrinkToFit="false"/>
      <protection locked="true" hidden="false"/>
    </xf>
    <xf numFmtId="170" fontId="0" fillId="10" borderId="22" xfId="0" applyFont="true" applyBorder="true" applyAlignment="true" applyProtection="true">
      <alignment horizontal="center" vertical="bottom" textRotation="0" wrapText="false" indent="0" shrinkToFit="false"/>
      <protection locked="true" hidden="false"/>
    </xf>
    <xf numFmtId="166" fontId="0" fillId="10" borderId="22" xfId="0" applyFont="true" applyBorder="true" applyAlignment="true" applyProtection="true">
      <alignment horizontal="center" vertical="bottom" textRotation="0" wrapText="false" indent="0" shrinkToFit="false"/>
      <protection locked="true" hidden="false"/>
    </xf>
    <xf numFmtId="166" fontId="0" fillId="10" borderId="22" xfId="0" applyFont="true" applyBorder="true" applyAlignment="true" applyProtection="true">
      <alignment horizontal="center" vertical="center" textRotation="0" wrapText="false" indent="0" shrinkToFit="false"/>
      <protection locked="true" hidden="false"/>
    </xf>
    <xf numFmtId="166" fontId="0" fillId="10" borderId="31" xfId="0" applyFont="true" applyBorder="true" applyAlignment="true" applyProtection="true">
      <alignment horizontal="center" vertical="bottom" textRotation="0" wrapText="false" indent="0" shrinkToFit="false"/>
      <protection locked="true" hidden="false"/>
    </xf>
    <xf numFmtId="166" fontId="0" fillId="10" borderId="28" xfId="0" applyFont="true" applyBorder="true" applyAlignment="true" applyProtection="true">
      <alignment horizontal="center" vertical="bottom" textRotation="0" wrapText="false" indent="0" shrinkToFit="false"/>
      <protection locked="true" hidden="false"/>
    </xf>
    <xf numFmtId="166" fontId="0" fillId="10" borderId="27" xfId="0" applyFont="true" applyBorder="true" applyAlignment="true" applyProtection="true">
      <alignment horizontal="center" vertical="bottom" textRotation="0" wrapText="false" indent="0" shrinkToFit="false"/>
      <protection locked="true" hidden="false"/>
    </xf>
    <xf numFmtId="166" fontId="0" fillId="10" borderId="23" xfId="0" applyFont="true" applyBorder="true" applyAlignment="true" applyProtection="true">
      <alignment horizontal="center" vertical="bottom" textRotation="0" wrapText="false" indent="0" shrinkToFit="false"/>
      <protection locked="true" hidden="false"/>
    </xf>
    <xf numFmtId="165" fontId="0" fillId="10" borderId="22" xfId="0" applyFont="true" applyBorder="true" applyAlignment="true" applyProtection="true">
      <alignment horizontal="center" vertical="bottom" textRotation="0" wrapText="false" indent="0" shrinkToFit="false"/>
      <protection locked="true" hidden="false"/>
    </xf>
    <xf numFmtId="165" fontId="0" fillId="10" borderId="28" xfId="0" applyFont="true" applyBorder="true" applyAlignment="true" applyProtection="true">
      <alignment horizontal="center" vertical="bottom" textRotation="0" wrapText="false" indent="0" shrinkToFit="false"/>
      <protection locked="true" hidden="false"/>
    </xf>
    <xf numFmtId="167" fontId="10" fillId="4" borderId="11" xfId="0" applyFont="true" applyBorder="true" applyAlignment="true" applyProtection="true">
      <alignment horizontal="left" vertical="bottom" textRotation="0" wrapText="false" indent="0" shrinkToFit="false"/>
      <protection locked="true" hidden="false"/>
    </xf>
    <xf numFmtId="166" fontId="0" fillId="4" borderId="12" xfId="0" applyFont="true" applyBorder="true" applyAlignment="true" applyProtection="true">
      <alignment horizontal="center" vertical="bottom" textRotation="0" wrapText="false" indent="0" shrinkToFit="false"/>
      <protection locked="true" hidden="false"/>
    </xf>
    <xf numFmtId="167" fontId="4" fillId="2" borderId="19" xfId="0" applyFont="true" applyBorder="true" applyAlignment="true" applyProtection="true">
      <alignment horizontal="center" vertical="bottom" textRotation="0" wrapText="false" indent="0" shrinkToFit="false"/>
      <protection locked="true" hidden="false"/>
    </xf>
    <xf numFmtId="166" fontId="4" fillId="6" borderId="15" xfId="0" applyFont="true" applyBorder="true" applyAlignment="true" applyProtection="true">
      <alignment horizontal="center" vertical="bottom" textRotation="0" wrapText="false" indent="0" shrinkToFit="false"/>
      <protection locked="true" hidden="false"/>
    </xf>
    <xf numFmtId="164" fontId="4" fillId="2" borderId="15" xfId="0" applyFont="true" applyBorder="true" applyAlignment="true" applyProtection="true">
      <alignment horizontal="center" vertical="bottom" textRotation="0" wrapText="false" indent="0" shrinkToFit="false"/>
      <protection locked="true" hidden="false"/>
    </xf>
    <xf numFmtId="166" fontId="6" fillId="6" borderId="15" xfId="0" applyFont="true" applyBorder="true" applyAlignment="true" applyProtection="true">
      <alignment horizontal="center" vertical="center" textRotation="0" wrapText="false" indent="0" shrinkToFit="false"/>
      <protection locked="true" hidden="false"/>
    </xf>
    <xf numFmtId="167" fontId="0" fillId="0" borderId="32" xfId="0" applyFont="true" applyBorder="true" applyAlignment="true" applyProtection="true">
      <alignment horizontal="center" vertical="bottom" textRotation="0" wrapText="false" indent="0" shrinkToFit="false"/>
      <protection locked="true" hidden="false"/>
    </xf>
    <xf numFmtId="165" fontId="0" fillId="0" borderId="27"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9" fontId="0" fillId="8" borderId="0" xfId="0" applyFont="true" applyBorder="false" applyAlignment="true" applyProtection="true">
      <alignment horizontal="center" vertical="bottom" textRotation="0" wrapText="false" indent="0" shrinkToFit="false"/>
      <protection locked="true" hidden="false"/>
    </xf>
    <xf numFmtId="166" fontId="0" fillId="8" borderId="22" xfId="0" applyFont="true" applyBorder="true" applyAlignment="true" applyProtection="true">
      <alignment horizontal="general" vertical="bottom" textRotation="0" wrapText="false" indent="0" shrinkToFit="false"/>
      <protection locked="true" hidden="false"/>
    </xf>
    <xf numFmtId="166" fontId="0" fillId="8" borderId="0" xfId="0" applyFont="true" applyBorder="false" applyAlignment="true" applyProtection="true">
      <alignment horizontal="center" vertical="bottom" textRotation="0" wrapText="false" indent="0" shrinkToFit="false"/>
      <protection locked="true" hidden="false"/>
    </xf>
    <xf numFmtId="166" fontId="0" fillId="0" borderId="28" xfId="0" applyFont="true" applyBorder="true" applyAlignment="true" applyProtection="true">
      <alignment horizontal="left" vertical="bottom" textRotation="0" wrapText="true" indent="0" shrinkToFit="false"/>
      <protection locked="true" hidden="false"/>
    </xf>
    <xf numFmtId="166" fontId="0" fillId="0" borderId="22" xfId="0" applyFont="true" applyBorder="true" applyAlignment="true" applyProtection="true">
      <alignment horizontal="general" vertical="bottom" textRotation="0" wrapText="false" indent="0" shrinkToFit="false"/>
      <protection locked="true" hidden="false"/>
    </xf>
    <xf numFmtId="167" fontId="4" fillId="0" borderId="11" xfId="0" applyFont="true" applyBorder="true" applyAlignment="true" applyProtection="true">
      <alignment horizontal="center" vertical="bottom" textRotation="0" wrapText="false" indent="0" shrinkToFit="false"/>
      <protection locked="true" hidden="false"/>
    </xf>
    <xf numFmtId="167" fontId="4" fillId="3" borderId="7" xfId="0" applyFont="true" applyBorder="true" applyAlignment="true" applyProtection="true">
      <alignment horizontal="center" vertical="bottom" textRotation="0" wrapText="false" indent="0" shrinkToFit="false"/>
      <protection locked="true" hidden="false"/>
    </xf>
    <xf numFmtId="165" fontId="4" fillId="5" borderId="19" xfId="0" applyFont="true" applyBorder="true" applyAlignment="true" applyProtection="true">
      <alignment horizontal="center" vertical="bottom" textRotation="0" wrapText="false" indent="0" shrinkToFit="false"/>
      <protection locked="true" hidden="false"/>
    </xf>
    <xf numFmtId="164" fontId="6" fillId="2" borderId="21" xfId="0" applyFont="true" applyBorder="true" applyAlignment="true" applyProtection="true">
      <alignment horizontal="center" vertical="bottom" textRotation="0" wrapText="false" indent="0" shrinkToFit="false"/>
      <protection locked="true" hidden="false"/>
    </xf>
    <xf numFmtId="166" fontId="0" fillId="0" borderId="24" xfId="0" applyFont="true" applyBorder="true" applyAlignment="true" applyProtection="true">
      <alignment horizontal="center" vertical="bottom" textRotation="0" wrapText="false" indent="0" shrinkToFit="false"/>
      <protection locked="true" hidden="false"/>
    </xf>
    <xf numFmtId="169" fontId="0" fillId="0" borderId="33" xfId="0" applyFont="true" applyBorder="true" applyAlignment="true" applyProtection="true">
      <alignment horizontal="center" vertical="bottom" textRotation="0" wrapText="false" indent="0" shrinkToFit="false"/>
      <protection locked="true" hidden="false"/>
    </xf>
    <xf numFmtId="165" fontId="0" fillId="11" borderId="34" xfId="0" applyFont="true" applyBorder="true" applyAlignment="true" applyProtection="true">
      <alignment horizontal="center" vertical="bottom" textRotation="0" wrapText="false" indent="0" shrinkToFit="false"/>
      <protection locked="true" hidden="false"/>
    </xf>
    <xf numFmtId="165" fontId="0" fillId="11" borderId="22" xfId="0" applyFont="true" applyBorder="true" applyAlignment="true" applyProtection="true">
      <alignment horizontal="center" vertical="bottom" textRotation="0" wrapText="false" indent="0" shrinkToFit="false"/>
      <protection locked="true" hidden="false"/>
    </xf>
    <xf numFmtId="168" fontId="0" fillId="11" borderId="22" xfId="0" applyFont="true" applyBorder="true" applyAlignment="true" applyProtection="true">
      <alignment horizontal="center" vertical="bottom" textRotation="0" wrapText="false" indent="0" shrinkToFit="false"/>
      <protection locked="true" hidden="false"/>
    </xf>
    <xf numFmtId="169" fontId="0" fillId="11" borderId="33" xfId="0" applyFont="true" applyBorder="true" applyAlignment="true" applyProtection="true">
      <alignment horizontal="center" vertical="bottom" textRotation="0" wrapText="false" indent="0" shrinkToFit="false"/>
      <protection locked="true" hidden="false"/>
    </xf>
    <xf numFmtId="167" fontId="0" fillId="11" borderId="27" xfId="0" applyFont="true" applyBorder="true" applyAlignment="true" applyProtection="true">
      <alignment horizontal="center" vertical="bottom" textRotation="0" wrapText="false" indent="0" shrinkToFit="false"/>
      <protection locked="true" hidden="false"/>
    </xf>
    <xf numFmtId="166" fontId="0" fillId="11" borderId="27" xfId="0" applyFont="true" applyBorder="true" applyAlignment="true" applyProtection="true">
      <alignment horizontal="center" vertical="bottom" textRotation="0" wrapText="false" indent="0" shrinkToFit="false"/>
      <protection locked="true" hidden="false"/>
    </xf>
    <xf numFmtId="166" fontId="0" fillId="11" borderId="22" xfId="0" applyFont="true" applyBorder="true" applyAlignment="true" applyProtection="true">
      <alignment horizontal="center" vertical="bottom" textRotation="0" wrapText="false" indent="0" shrinkToFit="false"/>
      <protection locked="true" hidden="false"/>
    </xf>
    <xf numFmtId="165" fontId="0" fillId="11" borderId="28" xfId="0" applyFont="true" applyBorder="true" applyAlignment="true" applyProtection="true">
      <alignment horizontal="center" vertical="bottom" textRotation="0" wrapText="false" indent="0" shrinkToFit="false"/>
      <protection locked="true" hidden="false"/>
    </xf>
    <xf numFmtId="166" fontId="0" fillId="11" borderId="0" xfId="0" applyFont="true" applyBorder="true" applyAlignment="true" applyProtection="true">
      <alignment horizontal="center" vertical="bottom" textRotation="0" wrapText="false" indent="0" shrinkToFit="false"/>
      <protection locked="true" hidden="false"/>
    </xf>
    <xf numFmtId="167" fontId="0" fillId="11" borderId="23" xfId="0" applyFont="true" applyBorder="true" applyAlignment="true" applyProtection="true">
      <alignment horizontal="center" vertical="bottom" textRotation="0" wrapText="false" indent="0" shrinkToFit="false"/>
      <protection locked="true" hidden="false"/>
    </xf>
    <xf numFmtId="166" fontId="0" fillId="11" borderId="28" xfId="0" applyFont="true" applyBorder="true" applyAlignment="true" applyProtection="true">
      <alignment horizontal="left" vertical="bottom" textRotation="0" wrapText="false" indent="0" shrinkToFit="false"/>
      <protection locked="true" hidden="false"/>
    </xf>
    <xf numFmtId="166" fontId="0" fillId="11" borderId="29" xfId="0" applyFont="true" applyBorder="true" applyAlignment="true" applyProtection="true">
      <alignment horizontal="center" vertical="bottom" textRotation="0" wrapText="false" indent="0" shrinkToFit="false"/>
      <protection locked="true" hidden="false"/>
    </xf>
    <xf numFmtId="170" fontId="0" fillId="11" borderId="22" xfId="0" applyFont="true" applyBorder="true" applyAlignment="true" applyProtection="true">
      <alignment horizontal="center" vertical="bottom" textRotation="0" wrapText="false" indent="0" shrinkToFit="false"/>
      <protection locked="true" hidden="false"/>
    </xf>
    <xf numFmtId="166" fontId="0" fillId="11" borderId="31" xfId="0" applyFont="true" applyBorder="true" applyAlignment="true" applyProtection="true">
      <alignment horizontal="center" vertical="bottom" textRotation="0" wrapText="false" indent="0" shrinkToFit="false"/>
      <protection locked="true" hidden="false"/>
    </xf>
    <xf numFmtId="166" fontId="0" fillId="11" borderId="22" xfId="0" applyFont="true" applyBorder="true" applyAlignment="true" applyProtection="true">
      <alignment horizontal="left" vertical="bottom" textRotation="0" wrapText="false" indent="0" shrinkToFit="false"/>
      <protection locked="true" hidden="false"/>
    </xf>
    <xf numFmtId="166" fontId="0" fillId="11" borderId="28" xfId="0" applyFont="true" applyBorder="true" applyAlignment="true" applyProtection="true">
      <alignment horizontal="center" vertical="bottom" textRotation="0" wrapText="false" indent="0" shrinkToFit="false"/>
      <protection locked="true" hidden="false"/>
    </xf>
    <xf numFmtId="166" fontId="0" fillId="11" borderId="23" xfId="0" applyFont="true" applyBorder="true" applyAlignment="true" applyProtection="true">
      <alignment horizontal="center" vertical="bottom" textRotation="0" wrapText="false" indent="0" shrinkToFit="false"/>
      <protection locked="true" hidden="false"/>
    </xf>
    <xf numFmtId="165" fontId="0" fillId="8" borderId="34" xfId="0" applyFont="true" applyBorder="true" applyAlignment="true" applyProtection="true">
      <alignment horizontal="center" vertical="bottom" textRotation="0" wrapText="false" indent="0" shrinkToFit="false"/>
      <protection locked="true" hidden="false"/>
    </xf>
    <xf numFmtId="169" fontId="0" fillId="8" borderId="35" xfId="0" applyFont="true" applyBorder="true" applyAlignment="true" applyProtection="true">
      <alignment horizontal="center" vertical="bottom" textRotation="0" wrapText="false" indent="0" shrinkToFit="false"/>
      <protection locked="true" hidden="false"/>
    </xf>
    <xf numFmtId="167" fontId="0" fillId="8" borderId="27" xfId="0" applyFont="true" applyBorder="true" applyAlignment="true" applyProtection="true">
      <alignment horizontal="center" vertical="bottom" textRotation="0" wrapText="false" indent="0" shrinkToFit="false"/>
      <protection locked="true" hidden="false"/>
    </xf>
    <xf numFmtId="166" fontId="0" fillId="8" borderId="0" xfId="0" applyFont="true" applyBorder="true" applyAlignment="true" applyProtection="true">
      <alignment horizontal="center" vertical="bottom" textRotation="0" wrapText="false" indent="0" shrinkToFit="false"/>
      <protection locked="true" hidden="false"/>
    </xf>
    <xf numFmtId="167" fontId="0" fillId="8" borderId="23" xfId="0" applyFont="true" applyBorder="true" applyAlignment="true" applyProtection="true">
      <alignment horizontal="center" vertical="bottom" textRotation="0" wrapText="false" indent="0" shrinkToFit="false"/>
      <protection locked="true" hidden="false"/>
    </xf>
    <xf numFmtId="165" fontId="0" fillId="0" borderId="34" xfId="0" applyFont="true" applyBorder="true" applyAlignment="true" applyProtection="true">
      <alignment horizontal="center" vertical="bottom" textRotation="0" wrapText="false" indent="0" shrinkToFit="false"/>
      <protection locked="true" hidden="false"/>
    </xf>
    <xf numFmtId="169" fontId="0" fillId="8" borderId="33" xfId="0" applyFont="true" applyBorder="true" applyAlignment="true" applyProtection="true">
      <alignment horizontal="center" vertical="bottom" textRotation="0" wrapText="false" indent="0" shrinkToFit="false"/>
      <protection locked="true" hidden="false"/>
    </xf>
    <xf numFmtId="166" fontId="0" fillId="12" borderId="22" xfId="0" applyFont="true" applyBorder="true" applyAlignment="true" applyProtection="true">
      <alignment horizontal="center" vertical="bottom" textRotation="0" wrapText="false" indent="0" shrinkToFit="false"/>
      <protection locked="true" hidden="false"/>
    </xf>
    <xf numFmtId="166" fontId="0" fillId="4" borderId="28" xfId="0" applyFont="true" applyBorder="true" applyAlignment="true" applyProtection="true">
      <alignment horizontal="left" vertical="bottom" textRotation="0" wrapText="false" indent="0" shrinkToFit="false"/>
      <protection locked="true" hidden="false"/>
    </xf>
    <xf numFmtId="165" fontId="0" fillId="13" borderId="28"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left"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5" fontId="12" fillId="0" borderId="34" xfId="0" applyFont="true" applyBorder="true" applyAlignment="true" applyProtection="true">
      <alignment horizontal="center" vertical="bottom" textRotation="0" wrapText="false" indent="0" shrinkToFit="false"/>
      <protection locked="true" hidden="false"/>
    </xf>
    <xf numFmtId="165" fontId="12" fillId="0" borderId="22" xfId="0" applyFont="true" applyBorder="true" applyAlignment="true" applyProtection="true">
      <alignment horizontal="center" vertical="bottom" textRotation="0" wrapText="false" indent="0" shrinkToFit="false"/>
      <protection locked="true" hidden="false"/>
    </xf>
    <xf numFmtId="168" fontId="12" fillId="0" borderId="22" xfId="0" applyFont="true" applyBorder="true" applyAlignment="true" applyProtection="true">
      <alignment horizontal="center" vertical="bottom" textRotation="0" wrapText="false" indent="0" shrinkToFit="false"/>
      <protection locked="true" hidden="false"/>
    </xf>
    <xf numFmtId="169" fontId="12" fillId="0" borderId="33" xfId="0" applyFont="true" applyBorder="true" applyAlignment="true" applyProtection="true">
      <alignment horizontal="center" vertical="bottom" textRotation="0" wrapText="false" indent="0" shrinkToFit="false"/>
      <protection locked="true" hidden="false"/>
    </xf>
    <xf numFmtId="170" fontId="12" fillId="0" borderId="27" xfId="0" applyFont="true" applyBorder="true" applyAlignment="true" applyProtection="true">
      <alignment horizontal="center" vertical="bottom" textRotation="0" wrapText="false" indent="0" shrinkToFit="false"/>
      <protection locked="true" hidden="false"/>
    </xf>
    <xf numFmtId="165" fontId="12" fillId="0" borderId="28" xfId="0" applyFont="true" applyBorder="true" applyAlignment="true" applyProtection="true">
      <alignment horizontal="center" vertical="bottom" textRotation="0" wrapText="false" indent="0" shrinkToFit="false"/>
      <protection locked="true" hidden="false"/>
    </xf>
    <xf numFmtId="166" fontId="12" fillId="0" borderId="23" xfId="0" applyFont="true" applyBorder="true" applyAlignment="true" applyProtection="true">
      <alignment horizontal="center" vertical="bottom" textRotation="0" wrapText="false" indent="0" shrinkToFit="false"/>
      <protection locked="true" hidden="false"/>
    </xf>
    <xf numFmtId="166" fontId="12" fillId="0" borderId="28" xfId="0" applyFont="true" applyBorder="true" applyAlignment="true" applyProtection="true">
      <alignment horizontal="left" vertical="bottom" textRotation="0" wrapText="false" indent="0" shrinkToFit="false"/>
      <protection locked="true" hidden="false"/>
    </xf>
    <xf numFmtId="166" fontId="12" fillId="0" borderId="29" xfId="0" applyFont="true" applyBorder="true" applyAlignment="true" applyProtection="true">
      <alignment horizontal="center" vertical="bottom" textRotation="0" wrapText="false" indent="0" shrinkToFit="false"/>
      <protection locked="true" hidden="false"/>
    </xf>
    <xf numFmtId="166" fontId="12" fillId="0" borderId="27" xfId="0" applyFont="true" applyBorder="true" applyAlignment="true" applyProtection="true">
      <alignment horizontal="center" vertical="bottom" textRotation="0" wrapText="false" indent="0" shrinkToFit="false"/>
      <protection locked="true" hidden="false"/>
    </xf>
    <xf numFmtId="170" fontId="12" fillId="0" borderId="22" xfId="0" applyFont="true" applyBorder="true" applyAlignment="true" applyProtection="true">
      <alignment horizontal="center" vertical="bottom" textRotation="0" wrapText="false" indent="0" shrinkToFit="false"/>
      <protection locked="true" hidden="false"/>
    </xf>
    <xf numFmtId="166" fontId="12" fillId="0" borderId="22" xfId="0" applyFont="true" applyBorder="true" applyAlignment="true" applyProtection="true">
      <alignment horizontal="center" vertical="bottom" textRotation="0" wrapText="false" indent="0" shrinkToFit="false"/>
      <protection locked="true" hidden="false"/>
    </xf>
    <xf numFmtId="166" fontId="12" fillId="0" borderId="31" xfId="0" applyFont="true" applyBorder="true" applyAlignment="true" applyProtection="true">
      <alignment horizontal="center" vertical="bottom" textRotation="0" wrapText="false" indent="0" shrinkToFit="false"/>
      <protection locked="true" hidden="false"/>
    </xf>
    <xf numFmtId="166" fontId="12" fillId="0" borderId="0" xfId="0" applyFont="true" applyBorder="false" applyAlignment="true" applyProtection="true">
      <alignment horizontal="center" vertical="bottom" textRotation="0" wrapText="false" indent="0" shrinkToFit="false"/>
      <protection locked="true" hidden="false"/>
    </xf>
    <xf numFmtId="166" fontId="12" fillId="0" borderId="28"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5" fontId="0" fillId="8" borderId="35" xfId="0" applyFont="true" applyBorder="true" applyAlignment="true" applyProtection="true">
      <alignment horizontal="center" vertical="bottom" textRotation="0" wrapText="false" indent="0" shrinkToFit="false"/>
      <protection locked="true" hidden="false"/>
    </xf>
    <xf numFmtId="165" fontId="0" fillId="8" borderId="22" xfId="0" applyFont="true" applyBorder="true" applyAlignment="true" applyProtection="true">
      <alignment horizontal="left" vertical="bottom" textRotation="0" wrapText="false" indent="0" shrinkToFit="false"/>
      <protection locked="true" hidden="false"/>
    </xf>
    <xf numFmtId="165" fontId="0" fillId="8" borderId="31" xfId="0" applyFont="true" applyBorder="true" applyAlignment="true" applyProtection="true">
      <alignment horizontal="center" vertical="bottom" textRotation="0" wrapText="false" indent="0" shrinkToFit="false"/>
      <protection locked="true" hidden="false"/>
    </xf>
    <xf numFmtId="165" fontId="0" fillId="8" borderId="0" xfId="0" applyFont="true" applyBorder="true" applyAlignment="true" applyProtection="true">
      <alignment horizontal="center" vertical="bottom" textRotation="0" wrapText="false" indent="0" shrinkToFit="false"/>
      <protection locked="true" hidden="false"/>
    </xf>
    <xf numFmtId="166" fontId="0" fillId="9" borderId="27" xfId="0" applyFont="true" applyBorder="true" applyAlignment="true" applyProtection="true">
      <alignment horizontal="center" vertical="bottom" textRotation="0" wrapText="false" indent="0" shrinkToFit="false"/>
      <protection locked="true" hidden="false"/>
    </xf>
    <xf numFmtId="166" fontId="0" fillId="9" borderId="23"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true" applyAlignment="true" applyProtection="true">
      <alignment horizontal="center" vertical="bottom" textRotation="0" wrapText="false" indent="0" shrinkToFit="false"/>
      <protection locked="true" hidden="false"/>
    </xf>
    <xf numFmtId="166" fontId="0" fillId="4" borderId="23" xfId="0" applyFont="true" applyBorder="true" applyAlignment="true" applyProtection="true">
      <alignment horizontal="center" vertical="bottom" textRotation="0" wrapText="false" indent="0" shrinkToFit="false"/>
      <protection locked="true" hidden="false"/>
    </xf>
    <xf numFmtId="165" fontId="0" fillId="13" borderId="22" xfId="0" applyFont="true" applyBorder="true" applyAlignment="true" applyProtection="true">
      <alignment horizontal="center" vertical="bottom" textRotation="0" wrapText="false" indent="0" shrinkToFit="false"/>
      <protection locked="true" hidden="false"/>
    </xf>
    <xf numFmtId="165" fontId="0" fillId="13" borderId="28" xfId="0" applyFont="true" applyBorder="tru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center" vertical="bottom" textRotation="0" wrapText="false" indent="0" shrinkToFit="false"/>
      <protection locked="true" hidden="false"/>
    </xf>
    <xf numFmtId="165" fontId="0" fillId="0" borderId="36" xfId="0" applyFont="true" applyBorder="true" applyAlignment="true" applyProtection="true">
      <alignment horizontal="center" vertical="bottom" textRotation="0" wrapText="false" indent="0" shrinkToFit="false"/>
      <protection locked="true" hidden="false"/>
    </xf>
    <xf numFmtId="166" fontId="0" fillId="0" borderId="36" xfId="0" applyFont="true" applyBorder="true" applyAlignment="true" applyProtection="true">
      <alignment horizontal="center" vertical="bottom" textRotation="0" wrapText="false" indent="0" shrinkToFit="false"/>
      <protection locked="true" hidden="false"/>
    </xf>
    <xf numFmtId="165" fontId="0" fillId="0" borderId="37" xfId="0" applyFont="true" applyBorder="true" applyAlignment="true" applyProtection="true">
      <alignment horizontal="center" vertical="bottom" textRotation="0" wrapText="false" indent="0" shrinkToFit="false"/>
      <protection locked="true" hidden="false"/>
    </xf>
    <xf numFmtId="165" fontId="0" fillId="8" borderId="36" xfId="0" applyFont="true" applyBorder="true" applyAlignment="true" applyProtection="true">
      <alignment horizontal="center" vertical="bottom" textRotation="0" wrapText="false" indent="0" shrinkToFit="false"/>
      <protection locked="true" hidden="false"/>
    </xf>
    <xf numFmtId="168" fontId="0" fillId="8" borderId="36" xfId="0" applyFont="true" applyBorder="true" applyAlignment="true" applyProtection="true">
      <alignment horizontal="center" vertical="bottom" textRotation="0" wrapText="false" indent="0" shrinkToFit="false"/>
      <protection locked="true" hidden="false"/>
    </xf>
    <xf numFmtId="169" fontId="0" fillId="8" borderId="38" xfId="0" applyFont="true" applyBorder="true" applyAlignment="true" applyProtection="true">
      <alignment horizontal="center" vertical="bottom" textRotation="0" wrapText="false" indent="0" shrinkToFit="false"/>
      <protection locked="true" hidden="false"/>
    </xf>
    <xf numFmtId="166" fontId="0" fillId="8" borderId="36" xfId="0" applyFont="true" applyBorder="true" applyAlignment="true" applyProtection="true">
      <alignment horizontal="center" vertical="bottom" textRotation="0" wrapText="false" indent="0" shrinkToFit="false"/>
      <protection locked="true" hidden="false"/>
    </xf>
    <xf numFmtId="165" fontId="0" fillId="8" borderId="37" xfId="0" applyFont="true" applyBorder="true" applyAlignment="true" applyProtection="true">
      <alignment horizontal="center" vertical="bottom" textRotation="0" wrapText="false" indent="0" shrinkToFit="false"/>
      <protection locked="true" hidden="false"/>
    </xf>
    <xf numFmtId="164" fontId="0" fillId="8" borderId="36" xfId="0" applyFont="true" applyBorder="true" applyAlignment="true" applyProtection="true">
      <alignment horizontal="left" vertical="bottom" textRotation="0" wrapText="false" indent="0" shrinkToFit="false"/>
      <protection locked="true" hidden="false"/>
    </xf>
    <xf numFmtId="168" fontId="0" fillId="0" borderId="36" xfId="0" applyFont="true" applyBorder="true" applyAlignment="true" applyProtection="true">
      <alignment horizontal="center" vertical="bottom" textRotation="0" wrapText="false" indent="0" shrinkToFit="false"/>
      <protection locked="true" hidden="false"/>
    </xf>
    <xf numFmtId="169" fontId="0" fillId="0" borderId="38" xfId="0" applyFont="true" applyBorder="true" applyAlignment="true" applyProtection="true">
      <alignment horizontal="center" vertical="bottom" textRotation="0" wrapText="false" indent="0" shrinkToFit="false"/>
      <protection locked="true" hidden="false"/>
    </xf>
    <xf numFmtId="166" fontId="0" fillId="0" borderId="31" xfId="0" applyFont="true" applyBorder="true" applyAlignment="true" applyProtection="true">
      <alignment horizontal="center" vertical="bottom" textRotation="0" wrapText="false" indent="0" shrinkToFit="false"/>
      <protection locked="true" hidden="false"/>
    </xf>
    <xf numFmtId="168" fontId="0" fillId="0" borderId="0" xfId="0" applyFont="true" applyBorder="false" applyAlignment="true" applyProtection="true">
      <alignment horizontal="center" vertical="bottom" textRotation="0" wrapText="false" indent="0" shrinkToFit="false"/>
      <protection locked="true" hidden="false"/>
    </xf>
    <xf numFmtId="167" fontId="0" fillId="0" borderId="0" xfId="0" applyFont="true" applyBorder="false" applyAlignment="true" applyProtection="true">
      <alignment horizontal="center" vertical="bottom" textRotation="0" wrapText="false" indent="0" shrinkToFit="false"/>
      <protection locked="true" hidden="false"/>
    </xf>
    <xf numFmtId="165" fontId="0" fillId="14" borderId="0" xfId="0" applyFont="true" applyBorder="false" applyAlignment="true" applyProtection="true">
      <alignment horizontal="center" vertical="bottom" textRotation="0" wrapText="false" indent="0" shrinkToFit="false"/>
      <protection locked="true" hidden="false"/>
    </xf>
    <xf numFmtId="164" fontId="0" fillId="0" borderId="6" xfId="0" applyFont="true" applyBorder="true" applyAlignment="true" applyProtection="true">
      <alignment horizontal="left" vertical="bottom" textRotation="0" wrapText="false" indent="0" shrinkToFit="false"/>
      <protection locked="true" hidden="false"/>
    </xf>
    <xf numFmtId="165" fontId="4" fillId="5" borderId="16" xfId="0" applyFont="true" applyBorder="true" applyAlignment="true" applyProtection="true">
      <alignment horizontal="center"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0" fillId="0" borderId="29" xfId="0" applyFont="true" applyBorder="true" applyAlignment="true" applyProtection="true">
      <alignment horizontal="center" vertical="bottom" textRotation="0" wrapText="false" indent="0" shrinkToFit="false"/>
      <protection locked="true" hidden="false"/>
    </xf>
    <xf numFmtId="169" fontId="0" fillId="11" borderId="0" xfId="0" applyFont="true" applyBorder="true" applyAlignment="true" applyProtection="true">
      <alignment horizontal="center" vertical="bottom" textRotation="0" wrapText="false" indent="0" shrinkToFit="false"/>
      <protection locked="true" hidden="false"/>
    </xf>
    <xf numFmtId="167" fontId="0" fillId="11" borderId="29" xfId="0" applyFont="true" applyBorder="true" applyAlignment="true" applyProtection="true">
      <alignment horizontal="center" vertical="bottom" textRotation="0" wrapText="false" indent="0" shrinkToFit="false"/>
      <protection locked="true" hidden="false"/>
    </xf>
    <xf numFmtId="169" fontId="0" fillId="8" borderId="28"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true" applyAlignment="true" applyProtection="true">
      <alignment horizontal="center" vertical="bottom" textRotation="0" wrapText="false" indent="0" shrinkToFit="false"/>
      <protection locked="true" hidden="false"/>
    </xf>
    <xf numFmtId="170" fontId="0" fillId="7" borderId="36" xfId="0" applyFont="true" applyBorder="true" applyAlignment="true" applyProtection="true">
      <alignment horizontal="center" vertical="bottom" textRotation="0" wrapText="false" indent="0" shrinkToFit="false"/>
      <protection locked="true" hidden="false"/>
    </xf>
    <xf numFmtId="164" fontId="0" fillId="0" borderId="36" xfId="0" applyFont="true" applyBorder="true" applyAlignment="true" applyProtection="true">
      <alignment horizontal="left" vertical="bottom" textRotation="0" wrapText="false" indent="0" shrinkToFit="false"/>
      <protection locked="true" hidden="false"/>
    </xf>
    <xf numFmtId="165" fontId="4" fillId="2" borderId="10" xfId="0" applyFont="true" applyBorder="true" applyAlignment="true" applyProtection="true">
      <alignment horizontal="center" vertical="bottom" textRotation="0" wrapText="false" indent="0" shrinkToFit="false"/>
      <protection locked="true" hidden="false"/>
    </xf>
    <xf numFmtId="170" fontId="0" fillId="0" borderId="11" xfId="0" applyFont="true" applyBorder="true" applyAlignment="true" applyProtection="true">
      <alignment horizontal="center" vertical="bottom" textRotation="0" wrapText="false" indent="0" shrinkToFit="false"/>
      <protection locked="true" hidden="false"/>
    </xf>
    <xf numFmtId="167" fontId="0" fillId="4" borderId="9" xfId="0" applyFont="true" applyBorder="true" applyAlignment="true" applyProtection="true">
      <alignment horizontal="center" vertical="bottom" textRotation="0" wrapText="false" indent="0" shrinkToFit="false"/>
      <protection locked="true" hidden="false"/>
    </xf>
    <xf numFmtId="170" fontId="4" fillId="2" borderId="18" xfId="0" applyFont="true" applyBorder="true" applyAlignment="true" applyProtection="true">
      <alignment horizontal="center" vertical="bottom" textRotation="0" wrapText="false" indent="0" shrinkToFit="false"/>
      <protection locked="true" hidden="false"/>
    </xf>
    <xf numFmtId="168" fontId="0" fillId="0" borderId="23" xfId="0" applyFont="true" applyBorder="true" applyAlignment="true" applyProtection="true">
      <alignment horizontal="center" vertical="bottom" textRotation="0" wrapText="false" indent="0" shrinkToFit="false"/>
      <protection locked="true" hidden="false"/>
    </xf>
    <xf numFmtId="169" fontId="0" fillId="0" borderId="22" xfId="0" applyFont="true" applyBorder="true" applyAlignment="true" applyProtection="true">
      <alignment horizontal="center" vertical="bottom" textRotation="0" wrapText="false" indent="0" shrinkToFit="false"/>
      <protection locked="true" hidden="false"/>
    </xf>
    <xf numFmtId="170" fontId="0" fillId="0" borderId="24" xfId="0" applyFont="true" applyBorder="true" applyAlignment="true" applyProtection="true">
      <alignment horizontal="center" vertical="bottom" textRotation="0" wrapText="false" indent="0" shrinkToFit="false"/>
      <protection locked="true" hidden="false"/>
    </xf>
    <xf numFmtId="166" fontId="4" fillId="15" borderId="15" xfId="0" applyFont="true" applyBorder="true" applyAlignment="true" applyProtection="true">
      <alignment horizontal="center" vertical="bottom" textRotation="0" wrapText="false" indent="0" shrinkToFit="false"/>
      <protection locked="true" hidden="false"/>
    </xf>
    <xf numFmtId="165" fontId="4" fillId="15" borderId="15" xfId="0" applyFont="true" applyBorder="true" applyAlignment="true" applyProtection="true">
      <alignment horizontal="center" vertical="bottom" textRotation="0" wrapText="false" indent="0" shrinkToFit="false"/>
      <protection locked="true" hidden="false"/>
    </xf>
    <xf numFmtId="166" fontId="0" fillId="0" borderId="13"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3"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6" fillId="0" borderId="3"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3" fillId="0" borderId="39"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17" fillId="0" borderId="40" xfId="0" applyFont="true" applyBorder="true" applyAlignment="true" applyProtection="true">
      <alignment horizontal="general" vertical="bottom" textRotation="0" wrapText="false" indent="0" shrinkToFit="false"/>
      <protection locked="true" hidden="false"/>
    </xf>
    <xf numFmtId="164" fontId="17" fillId="0" borderId="41"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969696"/>
          <bgColor rgb="FF000000"/>
        </patternFill>
      </fill>
    </dxf>
    <dxf>
      <fill>
        <patternFill patternType="solid">
          <fgColor rgb="FFFFCC99"/>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C0C0C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200"/>
      <rgbColor rgb="FF00FFFF"/>
      <rgbColor rgb="FF800080"/>
      <rgbColor rgb="FF800000"/>
      <rgbColor rgb="FF008080"/>
      <rgbColor rgb="FF0000FF"/>
      <rgbColor rgb="FF00CCFF"/>
      <rgbColor rgb="FFCCFFFF"/>
      <rgbColor rgb="FFCCFFCC"/>
      <rgbColor rgb="FFFFFF99"/>
      <rgbColor rgb="FF99CCFF"/>
      <rgbColor rgb="FFFF99CC"/>
      <rgbColor rgb="FFA5A5A5"/>
      <rgbColor rgb="FFFFCC99"/>
      <rgbColor rgb="FF3366FF"/>
      <rgbColor rgb="FF33CCCC"/>
      <rgbColor rgb="FF99CC00"/>
      <rgbColor rgb="FFFFCC00"/>
      <rgbColor rgb="FFFF9900"/>
      <rgbColor rgb="FFFF6600"/>
      <rgbColor rgb="FF999999"/>
      <rgbColor rgb="FF969696"/>
      <rgbColor rgb="FF003366"/>
      <rgbColor rgb="FF339966"/>
      <rgbColor rgb="FF003300"/>
      <rgbColor rgb="FF4C4C4C"/>
      <rgbColor rgb="FF993300"/>
      <rgbColor rgb="FF993366"/>
      <rgbColor rgb="FF333399"/>
      <rgbColor rgb="FF3C3C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18" activeCellId="0" sqref="B18"/>
    </sheetView>
  </sheetViews>
  <sheetFormatPr defaultColWidth="8.6796875" defaultRowHeight="15" zeroHeight="false" outlineLevelRow="0" outlineLevelCol="0"/>
  <cols>
    <col collapsed="false" customWidth="true" hidden="false" outlineLevel="0" max="1" min="1" style="1" width="11.89"/>
    <col collapsed="false" customWidth="true" hidden="false" outlineLevel="0" max="2" min="2" style="1" width="102.52"/>
    <col collapsed="false" customWidth="true" hidden="false" outlineLevel="0" max="26" min="3" style="1" width="10.88"/>
    <col collapsed="false" customWidth="true" hidden="false" outlineLevel="0" max="1025" min="27" style="1" width="12.67"/>
  </cols>
  <sheetData>
    <row r="1" customFormat="false" ht="12.75" hidden="false" customHeight="true" outlineLevel="0" collapsed="false">
      <c r="A1" s="2" t="s">
        <v>0</v>
      </c>
      <c r="B1" s="2"/>
    </row>
    <row r="2" customFormat="false" ht="12.75" hidden="false" customHeight="true" outlineLevel="0" collapsed="false">
      <c r="A2" s="3" t="s">
        <v>1</v>
      </c>
      <c r="B2" s="4" t="s">
        <v>2</v>
      </c>
    </row>
    <row r="3" customFormat="false" ht="12.75" hidden="false" customHeight="true" outlineLevel="0" collapsed="false">
      <c r="A3" s="3" t="s">
        <v>3</v>
      </c>
      <c r="B3" s="4" t="s">
        <v>4</v>
      </c>
    </row>
    <row r="4" customFormat="false" ht="12.75" hidden="false" customHeight="true" outlineLevel="0" collapsed="false">
      <c r="A4" s="3" t="s">
        <v>5</v>
      </c>
      <c r="B4" s="4" t="s">
        <v>6</v>
      </c>
    </row>
    <row r="5" customFormat="false" ht="31.3" hidden="false" customHeight="true" outlineLevel="0" collapsed="false">
      <c r="A5" s="5" t="s">
        <v>7</v>
      </c>
      <c r="B5" s="4" t="s">
        <v>8</v>
      </c>
    </row>
    <row r="6" customFormat="false" ht="93" hidden="false" customHeight="true" outlineLevel="0" collapsed="false">
      <c r="A6" s="6" t="s">
        <v>9</v>
      </c>
      <c r="B6" s="4" t="s">
        <v>10</v>
      </c>
    </row>
    <row r="7" customFormat="false" ht="12.75" hidden="false" customHeight="true" outlineLevel="0" collapsed="false">
      <c r="A7" s="3" t="s">
        <v>11</v>
      </c>
      <c r="B7" s="4" t="s">
        <v>12</v>
      </c>
    </row>
    <row r="8" customFormat="false" ht="12.75" hidden="false" customHeight="true" outlineLevel="0" collapsed="false">
      <c r="A8" s="3" t="s">
        <v>13</v>
      </c>
      <c r="B8" s="4" t="s">
        <v>14</v>
      </c>
    </row>
    <row r="9" customFormat="false" ht="12.75" hidden="false" customHeight="true" outlineLevel="0" collapsed="false">
      <c r="A9" s="5" t="s">
        <v>15</v>
      </c>
      <c r="B9" s="4" t="s">
        <v>16</v>
      </c>
    </row>
    <row r="10" customFormat="false" ht="12.75" hidden="false" customHeight="true" outlineLevel="0" collapsed="false">
      <c r="A10" s="7"/>
      <c r="B10" s="4"/>
    </row>
    <row r="11" customFormat="false" ht="12.75" hidden="false" customHeight="true" outlineLevel="0" collapsed="false">
      <c r="A11" s="2" t="s">
        <v>17</v>
      </c>
      <c r="B11" s="2"/>
    </row>
    <row r="12" customFormat="false" ht="12.75" hidden="false" customHeight="true" outlineLevel="0" collapsed="false">
      <c r="A12" s="8" t="s">
        <v>18</v>
      </c>
      <c r="B12" s="4" t="s">
        <v>19</v>
      </c>
    </row>
    <row r="13" customFormat="false" ht="12.75" hidden="false" customHeight="true" outlineLevel="0" collapsed="false">
      <c r="A13" s="8" t="s">
        <v>20</v>
      </c>
      <c r="B13" s="4" t="s">
        <v>21</v>
      </c>
    </row>
    <row r="14" customFormat="false" ht="12.75" hidden="false" customHeight="true" outlineLevel="0" collapsed="false">
      <c r="A14" s="9" t="s">
        <v>22</v>
      </c>
      <c r="B14" s="4" t="s">
        <v>23</v>
      </c>
    </row>
    <row r="15" customFormat="false" ht="12.75" hidden="false" customHeight="true" outlineLevel="0" collapsed="false">
      <c r="A15" s="10" t="s">
        <v>24</v>
      </c>
      <c r="B15" s="4" t="s">
        <v>25</v>
      </c>
    </row>
    <row r="16" customFormat="false" ht="12.75" hidden="false" customHeight="true" outlineLevel="0" collapsed="false">
      <c r="A16" s="10" t="s">
        <v>26</v>
      </c>
      <c r="B16" s="4" t="s">
        <v>27</v>
      </c>
    </row>
    <row r="17" customFormat="false" ht="12.75" hidden="false" customHeight="true" outlineLevel="0" collapsed="false">
      <c r="A17" s="11" t="s">
        <v>28</v>
      </c>
      <c r="B17" s="4" t="s">
        <v>29</v>
      </c>
    </row>
    <row r="18" customFormat="false" ht="12.75" hidden="false" customHeight="true" outlineLevel="0" collapsed="false">
      <c r="A18" s="8" t="s">
        <v>30</v>
      </c>
      <c r="B18" s="4" t="s">
        <v>31</v>
      </c>
    </row>
    <row r="19" customFormat="false" ht="12.75" hidden="false" customHeight="true" outlineLevel="0" collapsed="false">
      <c r="A19" s="12"/>
      <c r="B19" s="4"/>
    </row>
    <row r="20" customFormat="false" ht="12.75" hidden="false" customHeight="true" outlineLevel="0" collapsed="false">
      <c r="A20" s="2" t="s">
        <v>32</v>
      </c>
      <c r="B20" s="2"/>
    </row>
    <row r="21" customFormat="false" ht="12.75" hidden="false" customHeight="true" outlineLevel="0" collapsed="false">
      <c r="A21" s="8" t="s">
        <v>33</v>
      </c>
      <c r="B21" s="4" t="s">
        <v>34</v>
      </c>
    </row>
    <row r="22" customFormat="false" ht="12.75" hidden="false" customHeight="true" outlineLevel="0" collapsed="false">
      <c r="A22" s="8" t="s">
        <v>30</v>
      </c>
      <c r="B22" s="4" t="s">
        <v>35</v>
      </c>
    </row>
    <row r="23" customFormat="false" ht="12.75" hidden="false" customHeight="true" outlineLevel="0" collapsed="false">
      <c r="A23" s="8" t="s">
        <v>36</v>
      </c>
      <c r="B23" s="4" t="s">
        <v>37</v>
      </c>
    </row>
    <row r="24" customFormat="false" ht="30.75" hidden="false" customHeight="true" outlineLevel="0" collapsed="false">
      <c r="A24" s="8" t="s">
        <v>38</v>
      </c>
      <c r="B24" s="4" t="s">
        <v>39</v>
      </c>
    </row>
    <row r="25" customFormat="false" ht="35.25" hidden="false" customHeight="true" outlineLevel="0" collapsed="false">
      <c r="A25" s="10" t="s">
        <v>40</v>
      </c>
      <c r="B25" s="13" t="s">
        <v>41</v>
      </c>
    </row>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3">
    <mergeCell ref="A1:B1"/>
    <mergeCell ref="A11:B11"/>
    <mergeCell ref="A20:B20"/>
  </mergeCells>
  <printOptions headings="false" gridLines="false" gridLinesSet="true" horizontalCentered="true" verticalCentered="true"/>
  <pageMargins left="0.75" right="0.75" top="1" bottom="1"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&amp;C&amp;A</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X1000"/>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1" ySplit="0" topLeftCell="AF1" activePane="topRight" state="frozen"/>
      <selection pane="topLeft" activeCell="A1" activeCellId="0" sqref="A1"/>
      <selection pane="topRight" activeCell="AO5" activeCellId="0" sqref="AO5"/>
    </sheetView>
  </sheetViews>
  <sheetFormatPr defaultColWidth="8.6796875" defaultRowHeight="15" zeroHeight="false" outlineLevelRow="0" outlineLevelCol="0"/>
  <cols>
    <col collapsed="false" customWidth="true" hidden="false" outlineLevel="0" max="5" min="1" style="1" width="9.44"/>
    <col collapsed="false" customWidth="true" hidden="false" outlineLevel="0" max="6" min="6" style="1" width="9.2"/>
    <col collapsed="false" customWidth="true" hidden="false" outlineLevel="0" max="7" min="7" style="1" width="15.44"/>
    <col collapsed="false" customWidth="true" hidden="false" outlineLevel="0" max="8" min="8" style="1" width="13.75"/>
    <col collapsed="false" customWidth="true" hidden="false" outlineLevel="0" max="10" min="9" style="1" width="11.99"/>
    <col collapsed="false" customWidth="true" hidden="false" outlineLevel="0" max="11" min="11" style="1" width="7.11"/>
    <col collapsed="false" customWidth="true" hidden="false" outlineLevel="0" max="12" min="12" style="1" width="8.87"/>
    <col collapsed="false" customWidth="true" hidden="false" outlineLevel="0" max="15" min="13" style="1" width="11.99"/>
    <col collapsed="false" customWidth="true" hidden="false" outlineLevel="0" max="16" min="16" style="1" width="30.43"/>
    <col collapsed="false" customWidth="true" hidden="false" outlineLevel="0" max="20" min="17" style="1" width="6.43"/>
    <col collapsed="false" customWidth="true" hidden="false" outlineLevel="0" max="38" min="21" style="1" width="4.44"/>
    <col collapsed="false" customWidth="true" hidden="false" outlineLevel="0" max="39" min="39" style="1" width="7.88"/>
    <col collapsed="false" customWidth="true" hidden="false" outlineLevel="0" max="40" min="40" style="1" width="6.43"/>
    <col collapsed="false" customWidth="true" hidden="false" outlineLevel="0" max="42" min="41" style="1" width="30.43"/>
    <col collapsed="false" customWidth="true" hidden="false" outlineLevel="0" max="43" min="43" style="1" width="6.43"/>
    <col collapsed="false" customWidth="true" hidden="false" outlineLevel="0" max="46" min="44" style="1" width="11.99"/>
    <col collapsed="false" customWidth="true" hidden="false" outlineLevel="0" max="47" min="47" style="1" width="6.43"/>
    <col collapsed="false" customWidth="true" hidden="false" outlineLevel="0" max="48" min="48" style="1" width="30.43"/>
    <col collapsed="false" customWidth="true" hidden="false" outlineLevel="0" max="49" min="49" style="1" width="11.22"/>
    <col collapsed="false" customWidth="true" hidden="false" outlineLevel="0" max="50" min="50" style="1" width="6.43"/>
    <col collapsed="false" customWidth="true" hidden="false" outlineLevel="0" max="1025" min="51" style="1" width="12.67"/>
  </cols>
  <sheetData>
    <row r="1" customFormat="false" ht="12.75" hidden="false" customHeight="true" outlineLevel="0" collapsed="false">
      <c r="A1" s="14" t="s">
        <v>42</v>
      </c>
      <c r="B1" s="15" t="s">
        <v>43</v>
      </c>
      <c r="C1" s="16" t="s">
        <v>44</v>
      </c>
      <c r="D1" s="17" t="s">
        <v>45</v>
      </c>
      <c r="E1" s="18" t="s">
        <v>46</v>
      </c>
      <c r="F1" s="19" t="s">
        <v>47</v>
      </c>
      <c r="G1" s="20" t="s">
        <v>48</v>
      </c>
      <c r="H1" s="21" t="s">
        <v>49</v>
      </c>
      <c r="I1" s="22"/>
      <c r="J1" s="23"/>
      <c r="K1" s="24"/>
      <c r="L1" s="25" t="s">
        <v>50</v>
      </c>
      <c r="M1" s="26" t="n">
        <v>633905.233</v>
      </c>
      <c r="N1" s="26" t="n">
        <v>3049240.448</v>
      </c>
      <c r="O1" s="26" t="n">
        <f aca="false">56.39-0.11</f>
        <v>56.28</v>
      </c>
      <c r="P1" s="27" t="s">
        <v>51</v>
      </c>
      <c r="Q1" s="28"/>
      <c r="R1" s="29"/>
      <c r="S1" s="29"/>
      <c r="T1" s="29"/>
      <c r="U1" s="29"/>
      <c r="V1" s="29"/>
      <c r="W1" s="29"/>
      <c r="X1" s="29"/>
      <c r="Y1" s="29"/>
      <c r="Z1" s="29"/>
      <c r="AA1" s="29"/>
      <c r="AB1" s="29"/>
      <c r="AC1" s="29"/>
      <c r="AD1" s="29"/>
      <c r="AE1" s="29"/>
      <c r="AF1" s="29"/>
      <c r="AG1" s="29"/>
      <c r="AH1" s="29"/>
      <c r="AI1" s="29"/>
      <c r="AJ1" s="29"/>
      <c r="AK1" s="29"/>
      <c r="AL1" s="29"/>
      <c r="AM1" s="30"/>
      <c r="AN1" s="29"/>
      <c r="AO1" s="31"/>
      <c r="AP1" s="29"/>
      <c r="AQ1" s="29"/>
      <c r="AR1" s="29"/>
      <c r="AS1" s="29"/>
      <c r="AT1" s="29"/>
      <c r="AU1" s="32"/>
      <c r="AV1" s="33"/>
      <c r="AW1" s="32"/>
      <c r="AX1" s="29"/>
    </row>
    <row r="2" customFormat="false" ht="12.75" hidden="false" customHeight="true" outlineLevel="0" collapsed="false">
      <c r="A2" s="34" t="s">
        <v>52</v>
      </c>
      <c r="B2" s="35" t="s">
        <v>53</v>
      </c>
      <c r="C2" s="36" t="s">
        <v>54</v>
      </c>
      <c r="D2" s="35" t="s">
        <v>55</v>
      </c>
      <c r="E2" s="37" t="s">
        <v>56</v>
      </c>
      <c r="F2" s="38" t="s">
        <v>57</v>
      </c>
      <c r="G2" s="39" t="s">
        <v>58</v>
      </c>
      <c r="H2" s="40" t="s">
        <v>1</v>
      </c>
      <c r="I2" s="41" t="s">
        <v>3</v>
      </c>
      <c r="J2" s="41" t="s">
        <v>5</v>
      </c>
      <c r="K2" s="41" t="s">
        <v>59</v>
      </c>
      <c r="L2" s="42" t="s">
        <v>60</v>
      </c>
      <c r="M2" s="43" t="s">
        <v>11</v>
      </c>
      <c r="N2" s="43" t="s">
        <v>61</v>
      </c>
      <c r="O2" s="43" t="s">
        <v>15</v>
      </c>
      <c r="P2" s="44" t="s">
        <v>62</v>
      </c>
      <c r="Q2" s="45" t="s">
        <v>63</v>
      </c>
      <c r="R2" s="46" t="s">
        <v>64</v>
      </c>
      <c r="S2" s="47" t="s">
        <v>22</v>
      </c>
      <c r="T2" s="48" t="s">
        <v>24</v>
      </c>
      <c r="U2" s="49"/>
      <c r="V2" s="50"/>
      <c r="W2" s="50"/>
      <c r="X2" s="50"/>
      <c r="Y2" s="50" t="s">
        <v>65</v>
      </c>
      <c r="Z2" s="50"/>
      <c r="AA2" s="50"/>
      <c r="AB2" s="50"/>
      <c r="AC2" s="51"/>
      <c r="AD2" s="50"/>
      <c r="AE2" s="50"/>
      <c r="AF2" s="50"/>
      <c r="AG2" s="50"/>
      <c r="AH2" s="50" t="s">
        <v>66</v>
      </c>
      <c r="AI2" s="50"/>
      <c r="AJ2" s="50"/>
      <c r="AK2" s="50"/>
      <c r="AL2" s="52"/>
      <c r="AM2" s="53" t="s">
        <v>67</v>
      </c>
      <c r="AN2" s="54" t="s">
        <v>68</v>
      </c>
      <c r="AO2" s="55" t="s">
        <v>69</v>
      </c>
      <c r="AP2" s="44" t="s">
        <v>70</v>
      </c>
      <c r="AQ2" s="56" t="s">
        <v>71</v>
      </c>
      <c r="AR2" s="57" t="s">
        <v>72</v>
      </c>
      <c r="AS2" s="58" t="s">
        <v>73</v>
      </c>
      <c r="AT2" s="58" t="s">
        <v>74</v>
      </c>
      <c r="AU2" s="49" t="s">
        <v>75</v>
      </c>
      <c r="AV2" s="44" t="s">
        <v>76</v>
      </c>
      <c r="AW2" s="59"/>
      <c r="AX2" s="48" t="s">
        <v>26</v>
      </c>
    </row>
    <row r="3" customFormat="false" ht="12.75" hidden="false" customHeight="true" outlineLevel="0" collapsed="false">
      <c r="A3" s="60"/>
      <c r="B3" s="61" t="s">
        <v>77</v>
      </c>
      <c r="C3" s="62" t="s">
        <v>78</v>
      </c>
      <c r="D3" s="63" t="s">
        <v>79</v>
      </c>
      <c r="E3" s="64" t="s">
        <v>80</v>
      </c>
      <c r="F3" s="64" t="s">
        <v>80</v>
      </c>
      <c r="G3" s="65"/>
      <c r="H3" s="66" t="s">
        <v>81</v>
      </c>
      <c r="I3" s="67" t="s">
        <v>82</v>
      </c>
      <c r="J3" s="68" t="s">
        <v>83</v>
      </c>
      <c r="K3" s="69"/>
      <c r="L3" s="70"/>
      <c r="M3" s="67" t="s">
        <v>84</v>
      </c>
      <c r="N3" s="67" t="s">
        <v>85</v>
      </c>
      <c r="O3" s="68" t="s">
        <v>86</v>
      </c>
      <c r="P3" s="71"/>
      <c r="Q3" s="72" t="s">
        <v>87</v>
      </c>
      <c r="R3" s="73" t="s">
        <v>87</v>
      </c>
      <c r="S3" s="74" t="s">
        <v>88</v>
      </c>
      <c r="T3" s="74" t="s">
        <v>88</v>
      </c>
      <c r="U3" s="74" t="s">
        <v>89</v>
      </c>
      <c r="V3" s="74" t="s">
        <v>90</v>
      </c>
      <c r="W3" s="74" t="s">
        <v>91</v>
      </c>
      <c r="X3" s="74" t="s">
        <v>92</v>
      </c>
      <c r="Y3" s="74" t="s">
        <v>93</v>
      </c>
      <c r="Z3" s="74" t="s">
        <v>94</v>
      </c>
      <c r="AA3" s="74" t="s">
        <v>95</v>
      </c>
      <c r="AB3" s="74" t="s">
        <v>96</v>
      </c>
      <c r="AC3" s="75" t="s">
        <v>97</v>
      </c>
      <c r="AD3" s="73" t="s">
        <v>89</v>
      </c>
      <c r="AE3" s="74" t="s">
        <v>90</v>
      </c>
      <c r="AF3" s="74" t="s">
        <v>91</v>
      </c>
      <c r="AG3" s="74" t="s">
        <v>92</v>
      </c>
      <c r="AH3" s="74" t="s">
        <v>93</v>
      </c>
      <c r="AI3" s="74" t="s">
        <v>94</v>
      </c>
      <c r="AJ3" s="74" t="s">
        <v>95</v>
      </c>
      <c r="AK3" s="74" t="s">
        <v>96</v>
      </c>
      <c r="AL3" s="74" t="s">
        <v>97</v>
      </c>
      <c r="AM3" s="76" t="s">
        <v>98</v>
      </c>
      <c r="AN3" s="74" t="s">
        <v>99</v>
      </c>
      <c r="AO3" s="77"/>
      <c r="AP3" s="75"/>
      <c r="AQ3" s="73" t="s">
        <v>87</v>
      </c>
      <c r="AR3" s="78" t="s">
        <v>81</v>
      </c>
      <c r="AS3" s="67" t="s">
        <v>82</v>
      </c>
      <c r="AT3" s="68" t="s">
        <v>83</v>
      </c>
      <c r="AU3" s="69"/>
      <c r="AV3" s="79"/>
      <c r="AW3" s="59"/>
      <c r="AX3" s="80"/>
    </row>
    <row r="4" customFormat="false" ht="12.75" hidden="false" customHeight="true" outlineLevel="0" collapsed="false">
      <c r="A4" s="69"/>
      <c r="B4" s="69"/>
      <c r="C4" s="69"/>
      <c r="D4" s="69"/>
      <c r="E4" s="61"/>
      <c r="F4" s="81"/>
      <c r="G4" s="82"/>
      <c r="H4" s="68"/>
      <c r="I4" s="83"/>
      <c r="J4" s="68"/>
      <c r="K4" s="69"/>
      <c r="L4" s="84"/>
      <c r="M4" s="85"/>
      <c r="N4" s="70"/>
      <c r="O4" s="70"/>
      <c r="P4" s="71"/>
      <c r="Q4" s="72"/>
      <c r="R4" s="73"/>
      <c r="S4" s="74"/>
      <c r="T4" s="74"/>
      <c r="U4" s="74"/>
      <c r="V4" s="74"/>
      <c r="W4" s="74"/>
      <c r="X4" s="74"/>
      <c r="Y4" s="74"/>
      <c r="Z4" s="74"/>
      <c r="AA4" s="74"/>
      <c r="AB4" s="74"/>
      <c r="AC4" s="74"/>
      <c r="AD4" s="74"/>
      <c r="AE4" s="74"/>
      <c r="AF4" s="74"/>
      <c r="AG4" s="74"/>
      <c r="AH4" s="74"/>
      <c r="AI4" s="74"/>
      <c r="AJ4" s="74"/>
      <c r="AK4" s="74"/>
      <c r="AL4" s="74"/>
      <c r="AM4" s="76"/>
      <c r="AN4" s="74"/>
      <c r="AO4" s="77"/>
      <c r="AP4" s="75"/>
      <c r="AQ4" s="73"/>
      <c r="AR4" s="86"/>
      <c r="AS4" s="83"/>
      <c r="AT4" s="83"/>
      <c r="AU4" s="69"/>
      <c r="AV4" s="79"/>
      <c r="AW4" s="59"/>
      <c r="AX4" s="80"/>
    </row>
    <row r="5" customFormat="false" ht="12.75" hidden="false" customHeight="true" outlineLevel="0" collapsed="false">
      <c r="A5" s="69" t="s">
        <v>100</v>
      </c>
      <c r="B5" s="69" t="s">
        <v>101</v>
      </c>
      <c r="C5" s="69" t="s">
        <v>102</v>
      </c>
      <c r="D5" s="87" t="s">
        <v>103</v>
      </c>
      <c r="E5" s="61"/>
      <c r="F5" s="81"/>
      <c r="G5" s="88" t="s">
        <v>104</v>
      </c>
      <c r="H5" s="1" t="n">
        <v>634702.431</v>
      </c>
      <c r="I5" s="1" t="n">
        <v>3046966.78</v>
      </c>
      <c r="J5" s="1" t="n">
        <v>354.987</v>
      </c>
      <c r="K5" s="79" t="s">
        <v>105</v>
      </c>
      <c r="L5" s="84" t="n">
        <v>0.11</v>
      </c>
      <c r="M5" s="1" t="n">
        <v>633905.233</v>
      </c>
      <c r="N5" s="1" t="n">
        <v>3049240.448</v>
      </c>
      <c r="O5" s="1" t="n">
        <v>56.39</v>
      </c>
      <c r="P5" s="89" t="s">
        <v>106</v>
      </c>
      <c r="Q5" s="72" t="n">
        <v>1.05</v>
      </c>
      <c r="R5" s="73" t="n">
        <v>1.05</v>
      </c>
      <c r="S5" s="90" t="n">
        <v>90</v>
      </c>
      <c r="T5" s="80"/>
      <c r="U5" s="74" t="n">
        <v>0.9</v>
      </c>
      <c r="V5" s="74" t="n">
        <v>0.87</v>
      </c>
      <c r="W5" s="74" t="n">
        <v>0.85</v>
      </c>
      <c r="X5" s="74" t="n">
        <v>0.88</v>
      </c>
      <c r="Y5" s="74" t="n">
        <v>1.02</v>
      </c>
      <c r="Z5" s="74" t="n">
        <v>0.81</v>
      </c>
      <c r="AA5" s="74" t="n">
        <v>0.83</v>
      </c>
      <c r="AB5" s="74" t="n">
        <v>1</v>
      </c>
      <c r="AC5" s="74"/>
      <c r="AD5" s="74"/>
      <c r="AE5" s="74"/>
      <c r="AF5" s="74"/>
      <c r="AG5" s="74"/>
      <c r="AH5" s="74"/>
      <c r="AI5" s="74"/>
      <c r="AJ5" s="74"/>
      <c r="AK5" s="74"/>
      <c r="AL5" s="74"/>
      <c r="AM5" s="91" t="n">
        <f aca="false">AVERAGE(U5:AC5)</f>
        <v>0.895</v>
      </c>
      <c r="AN5" s="92" t="n">
        <v>3.67</v>
      </c>
      <c r="AO5" s="77" t="s">
        <v>107</v>
      </c>
      <c r="AP5" s="75"/>
      <c r="AQ5" s="73" t="n">
        <f aca="false">AN5-(AN5-Q5)*(SIN((S5+AX5)*PI()/180))/(COS(AX5*PI()/180))</f>
        <v>1.05</v>
      </c>
      <c r="AR5" s="84" t="n">
        <f aca="false">H5+($M$1-M5)-(AN5-Q5)*(COS(S5*PI()/180))*(SIN((T5+13+2.3)*PI()/180))</f>
        <v>634702.431</v>
      </c>
      <c r="AS5" s="84" t="n">
        <f aca="false">I5+($N$1-N5)-(AN5-Q5)*(COS(S5*PI()/180))*(COS((T5+13+2.3)*PI()/180))</f>
        <v>3046966.78</v>
      </c>
      <c r="AT5" s="84" t="n">
        <f aca="false">J5+($O$1-O5)-R5+AN5-(AN5-Q5)*(SIN(S5*PI()/180))-L5</f>
        <v>354.767</v>
      </c>
      <c r="AU5" s="69"/>
      <c r="AV5" s="79"/>
      <c r="AW5" s="59"/>
      <c r="AX5" s="80"/>
    </row>
    <row r="6" customFormat="false" ht="12.75" hidden="false" customHeight="true" outlineLevel="0" collapsed="false">
      <c r="A6" s="69" t="s">
        <v>108</v>
      </c>
      <c r="B6" s="69" t="s">
        <v>101</v>
      </c>
      <c r="C6" s="69" t="s">
        <v>109</v>
      </c>
      <c r="D6" s="87" t="s">
        <v>103</v>
      </c>
      <c r="E6" s="61"/>
      <c r="F6" s="81"/>
      <c r="G6" s="88" t="s">
        <v>104</v>
      </c>
      <c r="H6" s="1" t="n">
        <v>634292.4</v>
      </c>
      <c r="I6" s="1" t="n">
        <v>3046969.02</v>
      </c>
      <c r="J6" s="1" t="n">
        <v>334.033</v>
      </c>
      <c r="K6" s="79" t="s">
        <v>105</v>
      </c>
      <c r="L6" s="84" t="n">
        <v>0.11</v>
      </c>
      <c r="M6" s="1" t="n">
        <v>633905.233</v>
      </c>
      <c r="N6" s="1" t="n">
        <v>3049240.448</v>
      </c>
      <c r="O6" s="1" t="n">
        <v>56.39</v>
      </c>
      <c r="P6" s="89" t="s">
        <v>106</v>
      </c>
      <c r="Q6" s="72" t="n">
        <v>0.54</v>
      </c>
      <c r="R6" s="73" t="n">
        <v>0.54</v>
      </c>
      <c r="S6" s="90" t="n">
        <v>90</v>
      </c>
      <c r="T6" s="80"/>
      <c r="U6" s="93" t="n">
        <v>0.68</v>
      </c>
      <c r="V6" s="74" t="n">
        <v>0.76</v>
      </c>
      <c r="W6" s="74" t="n">
        <v>0.57</v>
      </c>
      <c r="X6" s="74" t="n">
        <v>0.67</v>
      </c>
      <c r="Y6" s="74" t="n">
        <v>0.69</v>
      </c>
      <c r="Z6" s="74" t="n">
        <v>0.5</v>
      </c>
      <c r="AA6" s="74" t="n">
        <v>0.63</v>
      </c>
      <c r="AB6" s="74" t="n">
        <v>0.66</v>
      </c>
      <c r="AC6" s="74" t="n">
        <v>0.5</v>
      </c>
      <c r="AD6" s="74"/>
      <c r="AE6" s="74"/>
      <c r="AF6" s="74"/>
      <c r="AG6" s="74"/>
      <c r="AH6" s="74"/>
      <c r="AI6" s="74"/>
      <c r="AJ6" s="74"/>
      <c r="AK6" s="74"/>
      <c r="AL6" s="74"/>
      <c r="AM6" s="91" t="n">
        <f aca="false">AVERAGE(U6:AG6)</f>
        <v>0.628888888888889</v>
      </c>
      <c r="AN6" s="92" t="n">
        <v>3.67</v>
      </c>
      <c r="AO6" s="77"/>
      <c r="AP6" s="75"/>
      <c r="AQ6" s="73" t="n">
        <f aca="false">AN6-(AN6-Q6)*(SIN((S6+AX6)*PI()/180))/(COS(AX6*PI()/180))</f>
        <v>0.54</v>
      </c>
      <c r="AR6" s="84" t="n">
        <f aca="false">H6+($M$1-M6)-(AN6-Q6)*(COS(S6*PI()/180))*(SIN((T6+13+2.3)*PI()/180))</f>
        <v>634292.4</v>
      </c>
      <c r="AS6" s="84" t="n">
        <f aca="false">I6+($N$1-N6)-(AN6-Q6)*(COS(S6*PI()/180))*(COS((T6+13+2.3)*PI()/180))</f>
        <v>3046969.02</v>
      </c>
      <c r="AT6" s="84" t="n">
        <f aca="false">J6+($O$1-O6)-R6+AN6-(AN6-Q6)*(SIN(S6*PI()/180))-L6</f>
        <v>333.813</v>
      </c>
      <c r="AU6" s="69"/>
      <c r="AV6" s="79"/>
      <c r="AW6" s="59"/>
      <c r="AX6" s="80"/>
    </row>
    <row r="7" customFormat="false" ht="12.75" hidden="false" customHeight="true" outlineLevel="0" collapsed="false">
      <c r="A7" s="69" t="s">
        <v>110</v>
      </c>
      <c r="B7" s="69" t="s">
        <v>101</v>
      </c>
      <c r="C7" s="69"/>
      <c r="D7" s="87" t="s">
        <v>103</v>
      </c>
      <c r="E7" s="61"/>
      <c r="F7" s="81"/>
      <c r="G7" s="88" t="s">
        <v>104</v>
      </c>
      <c r="H7" s="1" t="n">
        <v>633933.525</v>
      </c>
      <c r="I7" s="1" t="n">
        <v>3046872.315</v>
      </c>
      <c r="J7" s="1" t="n">
        <v>315.425</v>
      </c>
      <c r="K7" s="79" t="s">
        <v>105</v>
      </c>
      <c r="L7" s="84" t="n">
        <v>0.11</v>
      </c>
      <c r="M7" s="1" t="n">
        <v>633905.233</v>
      </c>
      <c r="N7" s="1" t="n">
        <v>3049240.448</v>
      </c>
      <c r="O7" s="1" t="n">
        <v>56.39</v>
      </c>
      <c r="P7" s="89" t="s">
        <v>106</v>
      </c>
      <c r="Q7" s="72" t="n">
        <v>1.15</v>
      </c>
      <c r="R7" s="73" t="n">
        <v>1.15</v>
      </c>
      <c r="S7" s="90" t="n">
        <v>90</v>
      </c>
      <c r="T7" s="80"/>
      <c r="U7" s="74" t="n">
        <v>0.95</v>
      </c>
      <c r="V7" s="74" t="n">
        <v>0.97</v>
      </c>
      <c r="W7" s="74" t="n">
        <v>0.87</v>
      </c>
      <c r="X7" s="74" t="n">
        <v>1.1</v>
      </c>
      <c r="Y7" s="74" t="n">
        <v>0.91</v>
      </c>
      <c r="Z7" s="74" t="n">
        <v>0.93</v>
      </c>
      <c r="AA7" s="93" t="n">
        <v>0.92</v>
      </c>
      <c r="AB7" s="74" t="n">
        <v>0.93</v>
      </c>
      <c r="AC7" s="74" t="n">
        <v>0.84</v>
      </c>
      <c r="AD7" s="74"/>
      <c r="AE7" s="74"/>
      <c r="AF7" s="74"/>
      <c r="AG7" s="74"/>
      <c r="AH7" s="74"/>
      <c r="AI7" s="74"/>
      <c r="AJ7" s="74"/>
      <c r="AK7" s="74"/>
      <c r="AL7" s="74"/>
      <c r="AM7" s="91" t="n">
        <f aca="false">AVERAGE(U7:AC7)</f>
        <v>0.935555555555556</v>
      </c>
      <c r="AN7" s="92" t="n">
        <v>3.67</v>
      </c>
      <c r="AO7" s="77" t="s">
        <v>111</v>
      </c>
      <c r="AP7" s="75"/>
      <c r="AQ7" s="73" t="n">
        <f aca="false">AN7-(AN7-Q7)*(SIN((S7+AX7)*PI()/180))/(COS(AX7*PI()/180))</f>
        <v>1.15</v>
      </c>
      <c r="AR7" s="84" t="n">
        <f aca="false">H7+($M$1-M7)-(AN7-Q7)*(COS(S7*PI()/180))*(SIN((T7+13+2.3)*PI()/180))</f>
        <v>633933.525</v>
      </c>
      <c r="AS7" s="84" t="n">
        <f aca="false">I7+($N$1-N7)-(AN7-Q7)*(COS(S7*PI()/180))*(COS((T7+13+2.3)*PI()/180))</f>
        <v>3046872.315</v>
      </c>
      <c r="AT7" s="84" t="n">
        <f aca="false">J7+($O$1-O7)-R7+AN7-(AN7-Q7)*(SIN(S7*PI()/180))-L7</f>
        <v>315.205</v>
      </c>
      <c r="AU7" s="69"/>
      <c r="AV7" s="79"/>
      <c r="AW7" s="59"/>
      <c r="AX7" s="80"/>
    </row>
    <row r="8" customFormat="false" ht="12.75" hidden="false" customHeight="true" outlineLevel="0" collapsed="false">
      <c r="A8" s="69" t="s">
        <v>112</v>
      </c>
      <c r="B8" s="69" t="s">
        <v>113</v>
      </c>
      <c r="C8" s="69"/>
      <c r="D8" s="87" t="s">
        <v>103</v>
      </c>
      <c r="E8" s="61"/>
      <c r="F8" s="81"/>
      <c r="G8" s="94" t="s">
        <v>114</v>
      </c>
      <c r="H8" s="1" t="n">
        <v>633555.684</v>
      </c>
      <c r="I8" s="1" t="n">
        <v>3046666.73</v>
      </c>
      <c r="J8" s="1" t="n">
        <v>282.118</v>
      </c>
      <c r="K8" s="79" t="s">
        <v>105</v>
      </c>
      <c r="L8" s="84" t="n">
        <v>0.11</v>
      </c>
      <c r="M8" s="1" t="n">
        <v>633905.233</v>
      </c>
      <c r="N8" s="1" t="n">
        <v>3049240.448</v>
      </c>
      <c r="O8" s="1" t="n">
        <v>56.39</v>
      </c>
      <c r="P8" s="95" t="s">
        <v>106</v>
      </c>
      <c r="Q8" s="72" t="n">
        <v>0.25</v>
      </c>
      <c r="R8" s="73" t="n">
        <v>0.25</v>
      </c>
      <c r="S8" s="90" t="n">
        <v>90</v>
      </c>
      <c r="T8" s="80"/>
      <c r="U8" s="74" t="n">
        <v>0.61</v>
      </c>
      <c r="V8" s="74" t="n">
        <v>0.74</v>
      </c>
      <c r="W8" s="74" t="n">
        <v>0.77</v>
      </c>
      <c r="X8" s="74" t="n">
        <v>0.74</v>
      </c>
      <c r="Y8" s="74" t="n">
        <v>0.73</v>
      </c>
      <c r="Z8" s="74" t="n">
        <v>0.72</v>
      </c>
      <c r="AA8" s="74" t="n">
        <v>0.68</v>
      </c>
      <c r="AB8" s="74"/>
      <c r="AC8" s="74"/>
      <c r="AD8" s="74"/>
      <c r="AE8" s="74"/>
      <c r="AF8" s="74"/>
      <c r="AG8" s="74"/>
      <c r="AH8" s="74"/>
      <c r="AI8" s="74"/>
      <c r="AJ8" s="74"/>
      <c r="AK8" s="74"/>
      <c r="AL8" s="74"/>
      <c r="AM8" s="91" t="n">
        <f aca="false">AVERAGE(U8:AC8)</f>
        <v>0.712857142857143</v>
      </c>
      <c r="AN8" s="92" t="n">
        <v>3.67</v>
      </c>
      <c r="AO8" s="77"/>
      <c r="AP8" s="75"/>
      <c r="AQ8" s="73" t="n">
        <f aca="false">AN8-(AN8-Q8)*(SIN((S8+AX8)*PI()/180))/(COS(AX8*PI()/180))</f>
        <v>0.25</v>
      </c>
      <c r="AR8" s="84" t="n">
        <f aca="false">H8+($M$1-M8)-(AN8-Q8)*(COS(S8*PI()/180))*(SIN((T8+13+2.3)*PI()/180))</f>
        <v>633555.684</v>
      </c>
      <c r="AS8" s="84" t="n">
        <f aca="false">I8+($N$1-N8)-(AN8-Q8)*(COS(S8*PI()/180))*(COS((T8+13+2.3)*PI()/180))</f>
        <v>3046666.73</v>
      </c>
      <c r="AT8" s="84" t="n">
        <f aca="false">J8+($O$1-O8)-R8+AN8-(AN8-Q8)*(SIN(S8*PI()/180))-L8</f>
        <v>281.898</v>
      </c>
      <c r="AU8" s="69"/>
      <c r="AV8" s="79"/>
      <c r="AW8" s="59"/>
      <c r="AX8" s="80"/>
    </row>
    <row r="9" customFormat="false" ht="12.75" hidden="false" customHeight="true" outlineLevel="0" collapsed="false">
      <c r="A9" s="69" t="s">
        <v>115</v>
      </c>
      <c r="B9" s="69" t="s">
        <v>113</v>
      </c>
      <c r="C9" s="69"/>
      <c r="D9" s="87" t="s">
        <v>103</v>
      </c>
      <c r="E9" s="61"/>
      <c r="F9" s="81"/>
      <c r="G9" s="94" t="s">
        <v>114</v>
      </c>
      <c r="H9" s="1" t="n">
        <v>633265.974</v>
      </c>
      <c r="I9" s="1" t="n">
        <v>3046417.541</v>
      </c>
      <c r="J9" s="1" t="n">
        <v>262.069</v>
      </c>
      <c r="K9" s="79" t="s">
        <v>105</v>
      </c>
      <c r="L9" s="84" t="n">
        <v>0.11</v>
      </c>
      <c r="M9" s="1" t="n">
        <v>633905.233</v>
      </c>
      <c r="N9" s="1" t="n">
        <v>3049240.448</v>
      </c>
      <c r="O9" s="1" t="n">
        <v>56.39</v>
      </c>
      <c r="P9" s="95" t="s">
        <v>106</v>
      </c>
      <c r="Q9" s="72" t="n">
        <v>1.45</v>
      </c>
      <c r="R9" s="73" t="n">
        <v>1.45</v>
      </c>
      <c r="S9" s="90" t="n">
        <v>90</v>
      </c>
      <c r="T9" s="80"/>
      <c r="U9" s="74" t="n">
        <v>0.47</v>
      </c>
      <c r="V9" s="74" t="n">
        <v>0.6</v>
      </c>
      <c r="W9" s="74" t="n">
        <v>0.35</v>
      </c>
      <c r="X9" s="74" t="n">
        <v>0.35</v>
      </c>
      <c r="Y9" s="74" t="n">
        <v>0.32</v>
      </c>
      <c r="Z9" s="74" t="n">
        <v>0.35</v>
      </c>
      <c r="AA9" s="74"/>
      <c r="AB9" s="74"/>
      <c r="AC9" s="74"/>
      <c r="AD9" s="74"/>
      <c r="AE9" s="74"/>
      <c r="AF9" s="74"/>
      <c r="AG9" s="74"/>
      <c r="AH9" s="74"/>
      <c r="AI9" s="74"/>
      <c r="AJ9" s="74"/>
      <c r="AK9" s="74"/>
      <c r="AL9" s="74"/>
      <c r="AM9" s="91" t="n">
        <f aca="false">AVERAGE(U9:AC9)</f>
        <v>0.406666666666667</v>
      </c>
      <c r="AN9" s="92" t="n">
        <v>3.67</v>
      </c>
      <c r="AO9" s="77"/>
      <c r="AP9" s="75"/>
      <c r="AQ9" s="73" t="n">
        <f aca="false">AN9-(AN9-Q9)*(SIN((S9+AX9)*PI()/180))/(COS(AX9*PI()/180))</f>
        <v>1.45</v>
      </c>
      <c r="AR9" s="84" t="n">
        <f aca="false">H9+($M$1-M9)-(AN9-Q9)*(COS(S9*PI()/180))*(SIN((T9+13+2.3)*PI()/180))</f>
        <v>633265.974</v>
      </c>
      <c r="AS9" s="84" t="n">
        <f aca="false">I9+($N$1-N9)-(AN9-Q9)*(COS(S9*PI()/180))*(COS((T9+13+2.3)*PI()/180))</f>
        <v>3046417.541</v>
      </c>
      <c r="AT9" s="84" t="n">
        <f aca="false">J9+($O$1-O9)-R9+AN9-(AN9-Q9)*(SIN(S9*PI()/180))-L9</f>
        <v>261.849</v>
      </c>
      <c r="AU9" s="69"/>
      <c r="AV9" s="79"/>
      <c r="AW9" s="59"/>
      <c r="AX9" s="80"/>
    </row>
    <row r="10" customFormat="false" ht="12.75" hidden="false" customHeight="true" outlineLevel="0" collapsed="false">
      <c r="A10" s="69" t="s">
        <v>116</v>
      </c>
      <c r="B10" s="69" t="s">
        <v>113</v>
      </c>
      <c r="C10" s="69"/>
      <c r="D10" s="87" t="s">
        <v>103</v>
      </c>
      <c r="E10" s="61"/>
      <c r="F10" s="81"/>
      <c r="G10" s="94" t="s">
        <v>114</v>
      </c>
      <c r="H10" s="1" t="n">
        <v>632979.472</v>
      </c>
      <c r="I10" s="1" t="n">
        <v>3046147.919</v>
      </c>
      <c r="J10" s="1" t="n">
        <v>213.408</v>
      </c>
      <c r="K10" s="79" t="s">
        <v>105</v>
      </c>
      <c r="L10" s="84" t="n">
        <v>0.11</v>
      </c>
      <c r="M10" s="1" t="n">
        <v>633905.233</v>
      </c>
      <c r="N10" s="1" t="n">
        <v>3049240.448</v>
      </c>
      <c r="O10" s="1" t="n">
        <v>56.39</v>
      </c>
      <c r="P10" s="95" t="s">
        <v>106</v>
      </c>
      <c r="Q10" s="72" t="n">
        <v>0.93</v>
      </c>
      <c r="R10" s="73" t="n">
        <v>0.93</v>
      </c>
      <c r="S10" s="90" t="n">
        <v>90</v>
      </c>
      <c r="T10" s="80"/>
      <c r="U10" s="74" t="n">
        <v>0.2</v>
      </c>
      <c r="V10" s="74" t="n">
        <v>0.18</v>
      </c>
      <c r="W10" s="74" t="n">
        <v>0.22</v>
      </c>
      <c r="X10" s="74" t="n">
        <v>0.2</v>
      </c>
      <c r="Y10" s="74" t="n">
        <v>0.27</v>
      </c>
      <c r="Z10" s="74" t="n">
        <v>0.3</v>
      </c>
      <c r="AA10" s="74" t="n">
        <v>0.18</v>
      </c>
      <c r="AB10" s="74" t="n">
        <v>0.25</v>
      </c>
      <c r="AC10" s="74" t="n">
        <v>0.2</v>
      </c>
      <c r="AD10" s="74" t="n">
        <v>0.26</v>
      </c>
      <c r="AE10" s="74"/>
      <c r="AF10" s="74"/>
      <c r="AG10" s="74"/>
      <c r="AH10" s="74"/>
      <c r="AI10" s="74"/>
      <c r="AJ10" s="74"/>
      <c r="AK10" s="74"/>
      <c r="AL10" s="74"/>
      <c r="AM10" s="91" t="n">
        <f aca="false">AVERAGE(U10:AC10)</f>
        <v>0.222222222222222</v>
      </c>
      <c r="AN10" s="92" t="n">
        <v>3.67</v>
      </c>
      <c r="AO10" s="77"/>
      <c r="AP10" s="75"/>
      <c r="AQ10" s="73" t="n">
        <f aca="false">AN10-(AN10-Q10)*(SIN((S10+AX10)*PI()/180))/(COS(AX10*PI()/180))</f>
        <v>0.93</v>
      </c>
      <c r="AR10" s="84" t="n">
        <f aca="false">H10+($M$1-M10)-(AN10-Q10)*(COS(S10*PI()/180))*(SIN((T10+13+2.3)*PI()/180))</f>
        <v>632979.472</v>
      </c>
      <c r="AS10" s="84" t="n">
        <f aca="false">I10+($N$1-N10)-(AN10-Q10)*(COS(S10*PI()/180))*(COS((T10+13+2.3)*PI()/180))</f>
        <v>3046147.919</v>
      </c>
      <c r="AT10" s="84" t="n">
        <f aca="false">J10+($O$1-O10)-R10+AN10-(AN10-Q10)*(SIN(S10*PI()/180))-L10</f>
        <v>213.188</v>
      </c>
      <c r="AU10" s="69"/>
      <c r="AV10" s="79"/>
      <c r="AW10" s="59"/>
      <c r="AX10" s="80"/>
    </row>
    <row r="11" customFormat="false" ht="12.75" hidden="false" customHeight="true" outlineLevel="0" collapsed="false">
      <c r="A11" s="96" t="s">
        <v>117</v>
      </c>
      <c r="B11" s="97"/>
      <c r="C11" s="97"/>
      <c r="D11" s="97"/>
      <c r="E11" s="97"/>
      <c r="F11" s="97"/>
      <c r="G11" s="97"/>
      <c r="H11" s="97"/>
      <c r="I11" s="97"/>
      <c r="J11" s="97"/>
      <c r="K11" s="98"/>
      <c r="L11" s="99"/>
      <c r="M11" s="100"/>
      <c r="N11" s="101"/>
      <c r="O11" s="101"/>
      <c r="P11" s="102"/>
      <c r="Q11" s="103"/>
      <c r="R11" s="104"/>
      <c r="S11" s="105"/>
      <c r="T11" s="105"/>
      <c r="U11" s="97"/>
      <c r="V11" s="97"/>
      <c r="W11" s="97"/>
      <c r="X11" s="97"/>
      <c r="Y11" s="97"/>
      <c r="Z11" s="97"/>
      <c r="AA11" s="97"/>
      <c r="AB11" s="97"/>
      <c r="AC11" s="97"/>
      <c r="AD11" s="97"/>
      <c r="AE11" s="97"/>
      <c r="AF11" s="97"/>
      <c r="AG11" s="97"/>
      <c r="AH11" s="97"/>
      <c r="AI11" s="97"/>
      <c r="AJ11" s="97"/>
      <c r="AK11" s="97"/>
      <c r="AL11" s="97"/>
      <c r="AM11" s="106"/>
      <c r="AN11" s="107"/>
      <c r="AO11" s="108"/>
      <c r="AP11" s="109"/>
      <c r="AQ11" s="104"/>
      <c r="AR11" s="99"/>
      <c r="AS11" s="99"/>
      <c r="AT11" s="99"/>
      <c r="AU11" s="96"/>
      <c r="AV11" s="110"/>
      <c r="AW11" s="59"/>
      <c r="AX11" s="105"/>
    </row>
    <row r="12" customFormat="false" ht="12.75" hidden="false" customHeight="true" outlineLevel="0" collapsed="false">
      <c r="A12" s="96" t="s">
        <v>118</v>
      </c>
      <c r="B12" s="97"/>
      <c r="C12" s="97"/>
      <c r="D12" s="97"/>
      <c r="E12" s="97"/>
      <c r="F12" s="97"/>
      <c r="G12" s="97"/>
      <c r="H12" s="97"/>
      <c r="I12" s="97"/>
      <c r="J12" s="97"/>
      <c r="K12" s="98"/>
      <c r="L12" s="99"/>
      <c r="M12" s="100"/>
      <c r="N12" s="101"/>
      <c r="O12" s="101"/>
      <c r="P12" s="102"/>
      <c r="Q12" s="103"/>
      <c r="R12" s="104"/>
      <c r="S12" s="105"/>
      <c r="T12" s="105"/>
      <c r="U12" s="97"/>
      <c r="V12" s="97"/>
      <c r="W12" s="97"/>
      <c r="X12" s="97"/>
      <c r="Y12" s="97"/>
      <c r="Z12" s="97"/>
      <c r="AA12" s="97"/>
      <c r="AB12" s="97"/>
      <c r="AC12" s="97"/>
      <c r="AD12" s="97"/>
      <c r="AE12" s="97"/>
      <c r="AF12" s="97"/>
      <c r="AG12" s="97"/>
      <c r="AH12" s="97"/>
      <c r="AI12" s="97"/>
      <c r="AJ12" s="97"/>
      <c r="AK12" s="97"/>
      <c r="AL12" s="97"/>
      <c r="AM12" s="106"/>
      <c r="AN12" s="107"/>
      <c r="AO12" s="108"/>
      <c r="AP12" s="109"/>
      <c r="AQ12" s="104"/>
      <c r="AR12" s="99"/>
      <c r="AS12" s="99"/>
      <c r="AT12" s="99"/>
      <c r="AU12" s="96"/>
      <c r="AV12" s="110"/>
      <c r="AW12" s="59"/>
      <c r="AX12" s="105"/>
    </row>
    <row r="13" customFormat="false" ht="12.75" hidden="false" customHeight="true" outlineLevel="0" collapsed="false">
      <c r="A13" s="96" t="s">
        <v>119</v>
      </c>
      <c r="B13" s="97"/>
      <c r="C13" s="97"/>
      <c r="D13" s="97"/>
      <c r="E13" s="97"/>
      <c r="F13" s="97"/>
      <c r="G13" s="97"/>
      <c r="H13" s="97"/>
      <c r="I13" s="97"/>
      <c r="J13" s="97"/>
      <c r="K13" s="98"/>
      <c r="L13" s="99"/>
      <c r="M13" s="100"/>
      <c r="N13" s="101"/>
      <c r="O13" s="101"/>
      <c r="P13" s="102"/>
      <c r="Q13" s="103"/>
      <c r="R13" s="104"/>
      <c r="S13" s="105"/>
      <c r="T13" s="105"/>
      <c r="U13" s="97"/>
      <c r="V13" s="97"/>
      <c r="W13" s="97"/>
      <c r="X13" s="97"/>
      <c r="Y13" s="97"/>
      <c r="Z13" s="97"/>
      <c r="AA13" s="97"/>
      <c r="AB13" s="97"/>
      <c r="AC13" s="97"/>
      <c r="AD13" s="97"/>
      <c r="AE13" s="97"/>
      <c r="AF13" s="97"/>
      <c r="AG13" s="97"/>
      <c r="AH13" s="97"/>
      <c r="AI13" s="97"/>
      <c r="AJ13" s="97"/>
      <c r="AK13" s="97"/>
      <c r="AL13" s="97"/>
      <c r="AM13" s="106"/>
      <c r="AN13" s="107"/>
      <c r="AO13" s="108"/>
      <c r="AP13" s="109"/>
      <c r="AQ13" s="104"/>
      <c r="AR13" s="99"/>
      <c r="AS13" s="99"/>
      <c r="AT13" s="99"/>
      <c r="AU13" s="96"/>
      <c r="AV13" s="110"/>
      <c r="AW13" s="59"/>
      <c r="AX13" s="105"/>
    </row>
    <row r="14" customFormat="false" ht="12.75" hidden="false" customHeight="true" outlineLevel="0" collapsed="false">
      <c r="A14" s="69" t="s">
        <v>120</v>
      </c>
      <c r="B14" s="69" t="s">
        <v>113</v>
      </c>
      <c r="C14" s="69"/>
      <c r="D14" s="87" t="s">
        <v>103</v>
      </c>
      <c r="E14" s="61"/>
      <c r="F14" s="81"/>
      <c r="G14" s="94" t="s">
        <v>114</v>
      </c>
      <c r="H14" s="1" t="n">
        <v>634150.286</v>
      </c>
      <c r="I14" s="1" t="n">
        <v>3047374.28</v>
      </c>
      <c r="J14" s="1" t="n">
        <v>315.099</v>
      </c>
      <c r="K14" s="79" t="s">
        <v>105</v>
      </c>
      <c r="L14" s="84" t="n">
        <v>0.11</v>
      </c>
      <c r="M14" s="1" t="n">
        <v>633905.233</v>
      </c>
      <c r="N14" s="1" t="n">
        <v>3049240.448</v>
      </c>
      <c r="O14" s="1" t="n">
        <v>56.39</v>
      </c>
      <c r="P14" s="95" t="s">
        <v>106</v>
      </c>
      <c r="Q14" s="72" t="n">
        <v>0.44</v>
      </c>
      <c r="R14" s="73" t="n">
        <v>0.44</v>
      </c>
      <c r="S14" s="90" t="n">
        <v>90</v>
      </c>
      <c r="T14" s="80"/>
      <c r="U14" s="74" t="n">
        <v>1.63</v>
      </c>
      <c r="V14" s="74" t="n">
        <v>1.22</v>
      </c>
      <c r="W14" s="74" t="n">
        <v>1.2</v>
      </c>
      <c r="X14" s="74" t="n">
        <v>1.58</v>
      </c>
      <c r="Y14" s="74" t="n">
        <v>1.21</v>
      </c>
      <c r="Z14" s="74" t="n">
        <v>1.38</v>
      </c>
      <c r="AA14" s="74" t="n">
        <v>1.2</v>
      </c>
      <c r="AB14" s="74" t="n">
        <v>1.44</v>
      </c>
      <c r="AC14" s="74" t="n">
        <v>1.62</v>
      </c>
      <c r="AD14" s="74" t="n">
        <v>1.38</v>
      </c>
      <c r="AE14" s="74" t="n">
        <v>1.55</v>
      </c>
      <c r="AF14" s="74" t="n">
        <v>1.43</v>
      </c>
      <c r="AG14" s="74"/>
      <c r="AH14" s="74"/>
      <c r="AI14" s="74"/>
      <c r="AJ14" s="74"/>
      <c r="AK14" s="74"/>
      <c r="AL14" s="74"/>
      <c r="AM14" s="91" t="n">
        <f aca="false">AVERAGE(U14:AC14)</f>
        <v>1.38666666666667</v>
      </c>
      <c r="AN14" s="92" t="n">
        <v>3.67</v>
      </c>
      <c r="AO14" s="77"/>
      <c r="AP14" s="75"/>
      <c r="AQ14" s="73" t="n">
        <f aca="false">AN14-(AN14-Q14)*(SIN((S14+AX14)*PI()/180))/(COS(AX14*PI()/180))</f>
        <v>0.44</v>
      </c>
      <c r="AR14" s="84" t="n">
        <f aca="false">H14+($M$1-M14)-(AN14-Q14)*(COS(S14*PI()/180))*(SIN((T14+13+2.3)*PI()/180))</f>
        <v>634150.286</v>
      </c>
      <c r="AS14" s="84" t="n">
        <f aca="false">I14+($N$1-N14)-(AN14-Q14)*(COS(S14*PI()/180))*(COS((T14+13+2.3)*PI()/180))</f>
        <v>3047374.28</v>
      </c>
      <c r="AT14" s="84" t="n">
        <f aca="false">J14+($O$1-O14)-R14+AN14-(AN14-Q14)*(SIN(S14*PI()/180))-L14</f>
        <v>314.879</v>
      </c>
      <c r="AU14" s="69"/>
      <c r="AV14" s="79"/>
      <c r="AW14" s="59"/>
      <c r="AX14" s="80"/>
    </row>
    <row r="15" customFormat="false" ht="12.75" hidden="false" customHeight="true" outlineLevel="0" collapsed="false">
      <c r="A15" s="69" t="s">
        <v>121</v>
      </c>
      <c r="B15" s="69" t="s">
        <v>122</v>
      </c>
      <c r="C15" s="69"/>
      <c r="D15" s="87" t="s">
        <v>103</v>
      </c>
      <c r="E15" s="61"/>
      <c r="F15" s="81"/>
      <c r="G15" s="88" t="s">
        <v>123</v>
      </c>
      <c r="H15" s="1" t="n">
        <v>633789.32</v>
      </c>
      <c r="I15" s="1" t="n">
        <v>3047685.862</v>
      </c>
      <c r="J15" s="1" t="n">
        <v>289.628</v>
      </c>
      <c r="K15" s="79" t="s">
        <v>105</v>
      </c>
      <c r="L15" s="84" t="n">
        <v>0.11</v>
      </c>
      <c r="M15" s="1" t="n">
        <v>633905.233</v>
      </c>
      <c r="N15" s="1" t="n">
        <v>3049240.448</v>
      </c>
      <c r="O15" s="1" t="n">
        <v>56.39</v>
      </c>
      <c r="P15" s="95" t="s">
        <v>106</v>
      </c>
      <c r="Q15" s="72" t="n">
        <v>1.67</v>
      </c>
      <c r="R15" s="73" t="n">
        <v>1.67</v>
      </c>
      <c r="S15" s="90" t="n">
        <v>90</v>
      </c>
      <c r="T15" s="80"/>
      <c r="U15" s="74" t="n">
        <v>0.48</v>
      </c>
      <c r="V15" s="74" t="n">
        <v>0.49</v>
      </c>
      <c r="W15" s="74" t="n">
        <v>0.37</v>
      </c>
      <c r="X15" s="74" t="n">
        <v>0.42</v>
      </c>
      <c r="Y15" s="74" t="n">
        <v>0.38</v>
      </c>
      <c r="Z15" s="74" t="n">
        <v>0.3</v>
      </c>
      <c r="AA15" s="74" t="n">
        <v>0.39</v>
      </c>
      <c r="AB15" s="74" t="n">
        <v>0.31</v>
      </c>
      <c r="AC15" s="74"/>
      <c r="AD15" s="74"/>
      <c r="AE15" s="74"/>
      <c r="AF15" s="74"/>
      <c r="AG15" s="74"/>
      <c r="AH15" s="74"/>
      <c r="AI15" s="74"/>
      <c r="AJ15" s="74"/>
      <c r="AK15" s="74"/>
      <c r="AL15" s="74"/>
      <c r="AM15" s="91" t="n">
        <f aca="false">AVERAGE(U15:AC15)</f>
        <v>0.3925</v>
      </c>
      <c r="AN15" s="92" t="n">
        <v>3.67</v>
      </c>
      <c r="AO15" s="77"/>
      <c r="AP15" s="75"/>
      <c r="AQ15" s="73" t="n">
        <f aca="false">AN15-(AN15-Q15)*(SIN((S15+AX15)*PI()/180))/(COS(AX15*PI()/180))</f>
        <v>1.67</v>
      </c>
      <c r="AR15" s="84" t="n">
        <f aca="false">H15+($M$1-M15)-(AN15-Q15)*(COS(S15*PI()/180))*(SIN((T15+13+2.3)*PI()/180))</f>
        <v>633789.32</v>
      </c>
      <c r="AS15" s="84" t="n">
        <f aca="false">I15+($N$1-N15)-(AN15-Q15)*(COS(S15*PI()/180))*(COS((T15+13+2.3)*PI()/180))</f>
        <v>3047685.862</v>
      </c>
      <c r="AT15" s="84" t="n">
        <f aca="false">J15+($O$1-O15)-R15+AN15-(AN15-Q15)*(SIN(S15*PI()/180))-L15</f>
        <v>289.408</v>
      </c>
      <c r="AU15" s="69"/>
      <c r="AV15" s="79"/>
      <c r="AW15" s="59"/>
      <c r="AX15" s="80"/>
    </row>
    <row r="16" customFormat="false" ht="12.75" hidden="false" customHeight="true" outlineLevel="0" collapsed="false">
      <c r="A16" s="96" t="s">
        <v>124</v>
      </c>
      <c r="B16" s="96"/>
      <c r="C16" s="96"/>
      <c r="D16" s="96"/>
      <c r="E16" s="111"/>
      <c r="F16" s="112"/>
      <c r="G16" s="113"/>
      <c r="H16" s="97"/>
      <c r="I16" s="97"/>
      <c r="J16" s="97"/>
      <c r="K16" s="98"/>
      <c r="L16" s="99"/>
      <c r="M16" s="100"/>
      <c r="N16" s="101"/>
      <c r="O16" s="101"/>
      <c r="P16" s="102"/>
      <c r="Q16" s="103"/>
      <c r="R16" s="104"/>
      <c r="S16" s="105"/>
      <c r="T16" s="105"/>
      <c r="U16" s="97"/>
      <c r="V16" s="97"/>
      <c r="W16" s="97"/>
      <c r="X16" s="97"/>
      <c r="Y16" s="97"/>
      <c r="Z16" s="97"/>
      <c r="AA16" s="97"/>
      <c r="AB16" s="97"/>
      <c r="AC16" s="97"/>
      <c r="AD16" s="97"/>
      <c r="AE16" s="97"/>
      <c r="AF16" s="97"/>
      <c r="AG16" s="97"/>
      <c r="AH16" s="97"/>
      <c r="AI16" s="97"/>
      <c r="AJ16" s="97"/>
      <c r="AK16" s="97"/>
      <c r="AL16" s="97"/>
      <c r="AM16" s="106"/>
      <c r="AN16" s="107"/>
      <c r="AO16" s="108"/>
      <c r="AP16" s="109"/>
      <c r="AQ16" s="104"/>
      <c r="AR16" s="99"/>
      <c r="AS16" s="99"/>
      <c r="AT16" s="99"/>
      <c r="AU16" s="96"/>
      <c r="AV16" s="110"/>
      <c r="AW16" s="59"/>
      <c r="AX16" s="96"/>
    </row>
    <row r="17" customFormat="false" ht="12.75" hidden="false" customHeight="true" outlineLevel="0" collapsed="false">
      <c r="A17" s="96" t="s">
        <v>125</v>
      </c>
      <c r="B17" s="96"/>
      <c r="C17" s="96"/>
      <c r="D17" s="96"/>
      <c r="E17" s="111"/>
      <c r="F17" s="112"/>
      <c r="G17" s="113"/>
      <c r="H17" s="97"/>
      <c r="I17" s="97"/>
      <c r="J17" s="97"/>
      <c r="K17" s="98"/>
      <c r="L17" s="99"/>
      <c r="M17" s="100"/>
      <c r="N17" s="101"/>
      <c r="O17" s="101"/>
      <c r="P17" s="102"/>
      <c r="Q17" s="103"/>
      <c r="R17" s="104"/>
      <c r="S17" s="105"/>
      <c r="T17" s="105"/>
      <c r="U17" s="97"/>
      <c r="V17" s="97"/>
      <c r="W17" s="97"/>
      <c r="X17" s="97"/>
      <c r="Y17" s="97"/>
      <c r="Z17" s="97"/>
      <c r="AA17" s="97"/>
      <c r="AB17" s="97"/>
      <c r="AC17" s="97"/>
      <c r="AD17" s="97"/>
      <c r="AE17" s="97"/>
      <c r="AF17" s="97"/>
      <c r="AG17" s="97"/>
      <c r="AH17" s="97"/>
      <c r="AI17" s="97"/>
      <c r="AJ17" s="97"/>
      <c r="AK17" s="97"/>
      <c r="AL17" s="97"/>
      <c r="AM17" s="106"/>
      <c r="AN17" s="107"/>
      <c r="AO17" s="108"/>
      <c r="AP17" s="109"/>
      <c r="AQ17" s="104"/>
      <c r="AR17" s="99"/>
      <c r="AS17" s="99"/>
      <c r="AT17" s="99"/>
      <c r="AU17" s="96"/>
      <c r="AV17" s="110"/>
      <c r="AW17" s="59"/>
      <c r="AX17" s="96"/>
    </row>
    <row r="18" customFormat="false" ht="12.75" hidden="false" customHeight="true" outlineLevel="0" collapsed="false">
      <c r="A18" s="96" t="s">
        <v>126</v>
      </c>
      <c r="B18" s="96"/>
      <c r="C18" s="96"/>
      <c r="D18" s="96"/>
      <c r="E18" s="111"/>
      <c r="F18" s="112"/>
      <c r="G18" s="113"/>
      <c r="H18" s="97"/>
      <c r="I18" s="97"/>
      <c r="J18" s="97"/>
      <c r="K18" s="98"/>
      <c r="L18" s="99"/>
      <c r="M18" s="100"/>
      <c r="N18" s="101"/>
      <c r="O18" s="101"/>
      <c r="P18" s="102"/>
      <c r="Q18" s="103"/>
      <c r="R18" s="104"/>
      <c r="S18" s="105"/>
      <c r="T18" s="105"/>
      <c r="U18" s="97"/>
      <c r="V18" s="97"/>
      <c r="W18" s="97"/>
      <c r="X18" s="97"/>
      <c r="Y18" s="97"/>
      <c r="Z18" s="97"/>
      <c r="AA18" s="97"/>
      <c r="AB18" s="97"/>
      <c r="AC18" s="97"/>
      <c r="AD18" s="97"/>
      <c r="AE18" s="97"/>
      <c r="AF18" s="97"/>
      <c r="AG18" s="97"/>
      <c r="AH18" s="97"/>
      <c r="AI18" s="97"/>
      <c r="AJ18" s="97"/>
      <c r="AK18" s="97"/>
      <c r="AL18" s="97"/>
      <c r="AM18" s="106"/>
      <c r="AN18" s="107"/>
      <c r="AO18" s="108"/>
      <c r="AP18" s="109"/>
      <c r="AQ18" s="104"/>
      <c r="AR18" s="99"/>
      <c r="AS18" s="99"/>
      <c r="AT18" s="99"/>
      <c r="AU18" s="96"/>
      <c r="AV18" s="110"/>
      <c r="AW18" s="59"/>
      <c r="AX18" s="96"/>
    </row>
    <row r="19" customFormat="false" ht="12.75" hidden="false" customHeight="true" outlineLevel="0" collapsed="false">
      <c r="A19" s="96" t="s">
        <v>127</v>
      </c>
      <c r="B19" s="96"/>
      <c r="C19" s="96"/>
      <c r="D19" s="96"/>
      <c r="E19" s="111"/>
      <c r="F19" s="112"/>
      <c r="G19" s="113"/>
      <c r="H19" s="97"/>
      <c r="I19" s="97"/>
      <c r="J19" s="97"/>
      <c r="K19" s="98"/>
      <c r="L19" s="99"/>
      <c r="M19" s="100"/>
      <c r="N19" s="101"/>
      <c r="O19" s="101"/>
      <c r="P19" s="102"/>
      <c r="Q19" s="103"/>
      <c r="R19" s="104"/>
      <c r="S19" s="105"/>
      <c r="T19" s="105"/>
      <c r="U19" s="97"/>
      <c r="V19" s="97"/>
      <c r="W19" s="97"/>
      <c r="X19" s="97"/>
      <c r="Y19" s="97"/>
      <c r="Z19" s="97"/>
      <c r="AA19" s="97"/>
      <c r="AB19" s="97"/>
      <c r="AC19" s="97"/>
      <c r="AD19" s="97"/>
      <c r="AE19" s="97"/>
      <c r="AF19" s="97"/>
      <c r="AG19" s="97"/>
      <c r="AH19" s="97"/>
      <c r="AI19" s="97"/>
      <c r="AJ19" s="97"/>
      <c r="AK19" s="97"/>
      <c r="AL19" s="97"/>
      <c r="AM19" s="106"/>
      <c r="AN19" s="107"/>
      <c r="AO19" s="108"/>
      <c r="AP19" s="109"/>
      <c r="AQ19" s="104"/>
      <c r="AR19" s="99"/>
      <c r="AS19" s="99"/>
      <c r="AT19" s="99"/>
      <c r="AU19" s="96"/>
      <c r="AV19" s="110"/>
      <c r="AW19" s="59"/>
      <c r="AX19" s="105"/>
    </row>
    <row r="20" customFormat="false" ht="12.75" hidden="false" customHeight="true" outlineLevel="0" collapsed="false">
      <c r="A20" s="96" t="s">
        <v>128</v>
      </c>
      <c r="B20" s="96"/>
      <c r="C20" s="96"/>
      <c r="D20" s="96"/>
      <c r="E20" s="111"/>
      <c r="F20" s="112"/>
      <c r="G20" s="113"/>
      <c r="H20" s="97"/>
      <c r="I20" s="97"/>
      <c r="J20" s="97"/>
      <c r="K20" s="98"/>
      <c r="L20" s="99"/>
      <c r="M20" s="100"/>
      <c r="N20" s="101"/>
      <c r="O20" s="101"/>
      <c r="P20" s="102"/>
      <c r="Q20" s="103"/>
      <c r="R20" s="104"/>
      <c r="S20" s="105"/>
      <c r="T20" s="105"/>
      <c r="U20" s="97"/>
      <c r="V20" s="97"/>
      <c r="W20" s="97"/>
      <c r="X20" s="97"/>
      <c r="Y20" s="97"/>
      <c r="Z20" s="97"/>
      <c r="AA20" s="97"/>
      <c r="AB20" s="97"/>
      <c r="AC20" s="97"/>
      <c r="AD20" s="97"/>
      <c r="AE20" s="97"/>
      <c r="AF20" s="97"/>
      <c r="AG20" s="97"/>
      <c r="AH20" s="97"/>
      <c r="AI20" s="97"/>
      <c r="AJ20" s="97"/>
      <c r="AK20" s="97"/>
      <c r="AL20" s="97"/>
      <c r="AM20" s="106"/>
      <c r="AN20" s="107"/>
      <c r="AO20" s="108"/>
      <c r="AP20" s="109"/>
      <c r="AQ20" s="104"/>
      <c r="AR20" s="99"/>
      <c r="AS20" s="99"/>
      <c r="AT20" s="99"/>
      <c r="AU20" s="96"/>
      <c r="AV20" s="110"/>
      <c r="AW20" s="59"/>
      <c r="AX20" s="105"/>
    </row>
    <row r="21" customFormat="false" ht="12.75" hidden="false" customHeight="true" outlineLevel="0" collapsed="false">
      <c r="A21" s="96" t="s">
        <v>129</v>
      </c>
      <c r="B21" s="96"/>
      <c r="C21" s="96"/>
      <c r="D21" s="96"/>
      <c r="E21" s="111"/>
      <c r="F21" s="112"/>
      <c r="G21" s="113"/>
      <c r="H21" s="97"/>
      <c r="I21" s="97"/>
      <c r="J21" s="97"/>
      <c r="K21" s="98"/>
      <c r="L21" s="99"/>
      <c r="M21" s="100"/>
      <c r="N21" s="101"/>
      <c r="O21" s="101"/>
      <c r="P21" s="102"/>
      <c r="Q21" s="103"/>
      <c r="R21" s="104"/>
      <c r="S21" s="105"/>
      <c r="T21" s="105"/>
      <c r="U21" s="97"/>
      <c r="V21" s="97"/>
      <c r="W21" s="97"/>
      <c r="X21" s="97"/>
      <c r="Y21" s="97"/>
      <c r="Z21" s="97"/>
      <c r="AA21" s="97"/>
      <c r="AB21" s="97"/>
      <c r="AC21" s="97"/>
      <c r="AD21" s="97"/>
      <c r="AE21" s="97"/>
      <c r="AF21" s="97"/>
      <c r="AG21" s="97"/>
      <c r="AH21" s="97"/>
      <c r="AI21" s="97"/>
      <c r="AJ21" s="97"/>
      <c r="AK21" s="97"/>
      <c r="AL21" s="97"/>
      <c r="AM21" s="106"/>
      <c r="AN21" s="107"/>
      <c r="AO21" s="108"/>
      <c r="AP21" s="109"/>
      <c r="AQ21" s="104"/>
      <c r="AR21" s="99"/>
      <c r="AS21" s="99"/>
      <c r="AT21" s="99"/>
      <c r="AU21" s="96"/>
      <c r="AV21" s="110"/>
      <c r="AW21" s="59"/>
      <c r="AX21" s="105"/>
    </row>
    <row r="22" customFormat="false" ht="12.75" hidden="false" customHeight="true" outlineLevel="0" collapsed="false">
      <c r="A22" s="96" t="s">
        <v>130</v>
      </c>
      <c r="B22" s="96"/>
      <c r="C22" s="96"/>
      <c r="D22" s="96"/>
      <c r="E22" s="111"/>
      <c r="F22" s="112"/>
      <c r="G22" s="113"/>
      <c r="H22" s="97"/>
      <c r="I22" s="97"/>
      <c r="J22" s="97"/>
      <c r="K22" s="98"/>
      <c r="L22" s="99"/>
      <c r="M22" s="100"/>
      <c r="N22" s="101"/>
      <c r="O22" s="101"/>
      <c r="P22" s="102"/>
      <c r="Q22" s="103"/>
      <c r="R22" s="104"/>
      <c r="S22" s="105"/>
      <c r="T22" s="105"/>
      <c r="U22" s="97"/>
      <c r="V22" s="97"/>
      <c r="W22" s="97"/>
      <c r="X22" s="97"/>
      <c r="Y22" s="97"/>
      <c r="Z22" s="97"/>
      <c r="AA22" s="97"/>
      <c r="AB22" s="97"/>
      <c r="AC22" s="97"/>
      <c r="AD22" s="97"/>
      <c r="AE22" s="97"/>
      <c r="AF22" s="97"/>
      <c r="AG22" s="97"/>
      <c r="AH22" s="97"/>
      <c r="AI22" s="97"/>
      <c r="AJ22" s="97"/>
      <c r="AK22" s="97"/>
      <c r="AL22" s="97"/>
      <c r="AM22" s="106"/>
      <c r="AN22" s="107"/>
      <c r="AO22" s="108"/>
      <c r="AP22" s="109"/>
      <c r="AQ22" s="104"/>
      <c r="AR22" s="99"/>
      <c r="AS22" s="99"/>
      <c r="AT22" s="99"/>
      <c r="AU22" s="96"/>
      <c r="AV22" s="110"/>
      <c r="AW22" s="59"/>
      <c r="AX22" s="105"/>
    </row>
    <row r="23" customFormat="false" ht="12.75" hidden="false" customHeight="true" outlineLevel="0" collapsed="false">
      <c r="A23" s="96" t="s">
        <v>131</v>
      </c>
      <c r="B23" s="96"/>
      <c r="C23" s="96"/>
      <c r="D23" s="96"/>
      <c r="E23" s="111"/>
      <c r="F23" s="112"/>
      <c r="G23" s="113"/>
      <c r="H23" s="97"/>
      <c r="I23" s="97"/>
      <c r="J23" s="97"/>
      <c r="K23" s="98"/>
      <c r="L23" s="99"/>
      <c r="M23" s="100"/>
      <c r="N23" s="101"/>
      <c r="O23" s="101"/>
      <c r="P23" s="102"/>
      <c r="Q23" s="103"/>
      <c r="R23" s="104"/>
      <c r="S23" s="105"/>
      <c r="T23" s="105"/>
      <c r="U23" s="97"/>
      <c r="V23" s="97"/>
      <c r="W23" s="97"/>
      <c r="X23" s="97"/>
      <c r="Y23" s="97"/>
      <c r="Z23" s="97"/>
      <c r="AA23" s="97"/>
      <c r="AB23" s="97"/>
      <c r="AC23" s="97"/>
      <c r="AD23" s="97"/>
      <c r="AE23" s="97"/>
      <c r="AF23" s="97"/>
      <c r="AG23" s="97"/>
      <c r="AH23" s="97"/>
      <c r="AI23" s="97"/>
      <c r="AJ23" s="97"/>
      <c r="AK23" s="97"/>
      <c r="AL23" s="97"/>
      <c r="AM23" s="106"/>
      <c r="AN23" s="107"/>
      <c r="AO23" s="108"/>
      <c r="AP23" s="109"/>
      <c r="AQ23" s="104"/>
      <c r="AR23" s="99"/>
      <c r="AS23" s="99"/>
      <c r="AT23" s="99"/>
      <c r="AU23" s="96"/>
      <c r="AV23" s="110"/>
      <c r="AW23" s="59"/>
      <c r="AX23" s="105"/>
    </row>
    <row r="24" customFormat="false" ht="12.75" hidden="false" customHeight="true" outlineLevel="0" collapsed="false">
      <c r="A24" s="69" t="s">
        <v>132</v>
      </c>
      <c r="B24" s="69" t="s">
        <v>101</v>
      </c>
      <c r="C24" s="69"/>
      <c r="D24" s="87" t="s">
        <v>103</v>
      </c>
      <c r="E24" s="61"/>
      <c r="F24" s="81"/>
      <c r="G24" s="88" t="s">
        <v>104</v>
      </c>
      <c r="H24" s="1" t="n">
        <v>634596.43</v>
      </c>
      <c r="I24" s="1" t="n">
        <v>3046409.919</v>
      </c>
      <c r="J24" s="1" t="n">
        <v>323.197</v>
      </c>
      <c r="K24" s="79" t="s">
        <v>105</v>
      </c>
      <c r="L24" s="84" t="n">
        <v>0.11</v>
      </c>
      <c r="M24" s="1" t="n">
        <v>633905.233</v>
      </c>
      <c r="N24" s="1" t="n">
        <v>3049240.448</v>
      </c>
      <c r="O24" s="1" t="n">
        <v>56.39</v>
      </c>
      <c r="P24" s="89" t="s">
        <v>106</v>
      </c>
      <c r="Q24" s="72" t="n">
        <v>0.53</v>
      </c>
      <c r="R24" s="73" t="n">
        <v>0.53</v>
      </c>
      <c r="S24" s="90" t="n">
        <v>90</v>
      </c>
      <c r="T24" s="80"/>
      <c r="U24" s="74" t="n">
        <v>1.13</v>
      </c>
      <c r="V24" s="74" t="n">
        <v>1.04</v>
      </c>
      <c r="W24" s="74" t="n">
        <v>1.13</v>
      </c>
      <c r="X24" s="74" t="n">
        <v>0.95</v>
      </c>
      <c r="Y24" s="74" t="n">
        <v>1.07</v>
      </c>
      <c r="Z24" s="74" t="n">
        <v>1.14</v>
      </c>
      <c r="AA24" s="74" t="n">
        <v>1.1</v>
      </c>
      <c r="AB24" s="74" t="n">
        <v>1.1</v>
      </c>
      <c r="AC24" s="74" t="n">
        <v>1.11</v>
      </c>
      <c r="AD24" s="74"/>
      <c r="AE24" s="74"/>
      <c r="AF24" s="74"/>
      <c r="AG24" s="74"/>
      <c r="AH24" s="74"/>
      <c r="AI24" s="74"/>
      <c r="AJ24" s="74"/>
      <c r="AK24" s="74"/>
      <c r="AL24" s="74"/>
      <c r="AM24" s="91" t="n">
        <f aca="false">AVERAGE(U24:AC24)</f>
        <v>1.08555555555556</v>
      </c>
      <c r="AN24" s="92" t="n">
        <v>3.67</v>
      </c>
      <c r="AO24" s="77"/>
      <c r="AP24" s="75"/>
      <c r="AQ24" s="73" t="n">
        <f aca="false">AN24-(AN24-Q24)*(SIN((S24+AX24)*PI()/180))/(COS(AX24*PI()/180))</f>
        <v>0.53</v>
      </c>
      <c r="AR24" s="84" t="n">
        <f aca="false">H24+($M$1-M24)-(AN24-Q24)*(COS(S24*PI()/180))*(SIN((T24+13+2.3)*PI()/180))</f>
        <v>634596.43</v>
      </c>
      <c r="AS24" s="84" t="n">
        <f aca="false">I24+($N$1-N24)-(AN24-Q24)*(COS(S24*PI()/180))*(COS((T24+13+2.3)*PI()/180))</f>
        <v>3046409.919</v>
      </c>
      <c r="AT24" s="84" t="n">
        <f aca="false">J24+($O$1-O24)-R24+AN24-(AN24-Q24)*(SIN(S24*PI()/180))-L24</f>
        <v>322.977</v>
      </c>
      <c r="AU24" s="69"/>
      <c r="AV24" s="79"/>
      <c r="AW24" s="59"/>
      <c r="AX24" s="80"/>
    </row>
    <row r="25" customFormat="false" ht="12.75" hidden="false" customHeight="true" outlineLevel="0" collapsed="false">
      <c r="A25" s="96" t="s">
        <v>133</v>
      </c>
      <c r="B25" s="96"/>
      <c r="C25" s="96"/>
      <c r="D25" s="96"/>
      <c r="E25" s="111"/>
      <c r="F25" s="112"/>
      <c r="G25" s="113"/>
      <c r="H25" s="97"/>
      <c r="I25" s="97"/>
      <c r="J25" s="97"/>
      <c r="K25" s="98"/>
      <c r="L25" s="99"/>
      <c r="M25" s="100"/>
      <c r="N25" s="101"/>
      <c r="O25" s="101"/>
      <c r="P25" s="102"/>
      <c r="Q25" s="103"/>
      <c r="R25" s="104"/>
      <c r="S25" s="105"/>
      <c r="T25" s="105"/>
      <c r="U25" s="97"/>
      <c r="V25" s="97"/>
      <c r="W25" s="97"/>
      <c r="X25" s="97"/>
      <c r="Y25" s="97"/>
      <c r="Z25" s="97"/>
      <c r="AA25" s="97"/>
      <c r="AB25" s="97"/>
      <c r="AC25" s="97"/>
      <c r="AD25" s="97"/>
      <c r="AE25" s="97"/>
      <c r="AF25" s="97"/>
      <c r="AG25" s="97"/>
      <c r="AH25" s="97"/>
      <c r="AI25" s="97"/>
      <c r="AJ25" s="97"/>
      <c r="AK25" s="97"/>
      <c r="AL25" s="97"/>
      <c r="AM25" s="106"/>
      <c r="AN25" s="107"/>
      <c r="AO25" s="108"/>
      <c r="AP25" s="109"/>
      <c r="AQ25" s="104"/>
      <c r="AR25" s="99"/>
      <c r="AS25" s="99"/>
      <c r="AT25" s="99"/>
      <c r="AU25" s="96"/>
      <c r="AV25" s="110"/>
      <c r="AW25" s="59"/>
      <c r="AX25" s="105"/>
    </row>
    <row r="26" customFormat="false" ht="12.75" hidden="false" customHeight="true" outlineLevel="0" collapsed="false">
      <c r="A26" s="69" t="s">
        <v>134</v>
      </c>
      <c r="B26" s="69" t="s">
        <v>101</v>
      </c>
      <c r="C26" s="69"/>
      <c r="D26" s="87" t="s">
        <v>103</v>
      </c>
      <c r="E26" s="61"/>
      <c r="F26" s="81"/>
      <c r="G26" s="88" t="s">
        <v>104</v>
      </c>
      <c r="H26" s="1" t="n">
        <v>633894.922</v>
      </c>
      <c r="I26" s="1" t="n">
        <v>3046227.368</v>
      </c>
      <c r="J26" s="1" t="n">
        <v>291.468</v>
      </c>
      <c r="K26" s="79" t="s">
        <v>105</v>
      </c>
      <c r="L26" s="84" t="n">
        <v>0.11</v>
      </c>
      <c r="M26" s="1" t="n">
        <v>633905.233</v>
      </c>
      <c r="N26" s="1" t="n">
        <v>3049240.448</v>
      </c>
      <c r="O26" s="1" t="n">
        <v>56.39</v>
      </c>
      <c r="P26" s="89" t="s">
        <v>106</v>
      </c>
      <c r="Q26" s="72" t="n">
        <v>1.17</v>
      </c>
      <c r="R26" s="73" t="n">
        <v>1.17</v>
      </c>
      <c r="S26" s="90" t="n">
        <v>90</v>
      </c>
      <c r="T26" s="80"/>
      <c r="U26" s="74" t="n">
        <v>0.74</v>
      </c>
      <c r="V26" s="74" t="n">
        <v>1.12</v>
      </c>
      <c r="W26" s="74" t="n">
        <v>1.02</v>
      </c>
      <c r="X26" s="74" t="n">
        <v>1.11</v>
      </c>
      <c r="Y26" s="74" t="n">
        <v>0.79</v>
      </c>
      <c r="Z26" s="74" t="n">
        <v>0.74</v>
      </c>
      <c r="AA26" s="74" t="n">
        <v>0.83</v>
      </c>
      <c r="AB26" s="74" t="n">
        <v>0.82</v>
      </c>
      <c r="AC26" s="74" t="n">
        <v>0.84</v>
      </c>
      <c r="AD26" s="74" t="n">
        <v>1.04</v>
      </c>
      <c r="AE26" s="74"/>
      <c r="AF26" s="74"/>
      <c r="AG26" s="74"/>
      <c r="AH26" s="74"/>
      <c r="AI26" s="74"/>
      <c r="AJ26" s="93"/>
      <c r="AK26" s="74"/>
      <c r="AL26" s="74"/>
      <c r="AM26" s="91" t="n">
        <f aca="false">AVERAGE(U26:AC26)</f>
        <v>0.89</v>
      </c>
      <c r="AN26" s="92" t="n">
        <v>3.67</v>
      </c>
      <c r="AO26" s="77"/>
      <c r="AP26" s="75"/>
      <c r="AQ26" s="73" t="n">
        <f aca="false">AN26-(AN26-Q26)*(SIN((S26+AX26)*PI()/180))/(COS(AX26*PI()/180))</f>
        <v>1.17</v>
      </c>
      <c r="AR26" s="84" t="n">
        <f aca="false">H26+($M$1-M26)-(AN26-Q26)*(COS(S26*PI()/180))*(SIN((T26+13+2.3)*PI()/180))</f>
        <v>633894.922</v>
      </c>
      <c r="AS26" s="84" t="n">
        <f aca="false">I26+($N$1-N26)-(AN26-Q26)*(COS(S26*PI()/180))*(COS((T26+13+2.3)*PI()/180))</f>
        <v>3046227.368</v>
      </c>
      <c r="AT26" s="84" t="n">
        <f aca="false">J26+($O$1-O26)-R26+AN26-(AN26-Q26)*(SIN(S26*PI()/180))-L26</f>
        <v>291.248</v>
      </c>
      <c r="AU26" s="69"/>
      <c r="AV26" s="79"/>
      <c r="AW26" s="59"/>
      <c r="AX26" s="80"/>
    </row>
    <row r="27" customFormat="false" ht="12.75" hidden="false" customHeight="true" outlineLevel="0" collapsed="false">
      <c r="A27" s="69" t="s">
        <v>135</v>
      </c>
      <c r="B27" s="69" t="s">
        <v>113</v>
      </c>
      <c r="C27" s="69"/>
      <c r="D27" s="87" t="s">
        <v>103</v>
      </c>
      <c r="E27" s="61"/>
      <c r="F27" s="81"/>
      <c r="G27" s="94" t="s">
        <v>114</v>
      </c>
      <c r="H27" s="1" t="n">
        <v>633427.674</v>
      </c>
      <c r="I27" s="1" t="n">
        <v>3046017.293</v>
      </c>
      <c r="J27" s="1" t="n">
        <v>253.463</v>
      </c>
      <c r="K27" s="79" t="s">
        <v>105</v>
      </c>
      <c r="L27" s="84" t="n">
        <v>0.11</v>
      </c>
      <c r="M27" s="1" t="n">
        <v>633905.233</v>
      </c>
      <c r="N27" s="1" t="n">
        <v>3049240.448</v>
      </c>
      <c r="O27" s="1" t="n">
        <v>56.39</v>
      </c>
      <c r="P27" s="95" t="s">
        <v>106</v>
      </c>
      <c r="Q27" s="72" t="n">
        <v>1</v>
      </c>
      <c r="R27" s="73" t="n">
        <v>1</v>
      </c>
      <c r="S27" s="90" t="n">
        <v>90</v>
      </c>
      <c r="T27" s="80"/>
      <c r="U27" s="74" t="n">
        <v>0.92</v>
      </c>
      <c r="V27" s="74" t="n">
        <v>0.94</v>
      </c>
      <c r="W27" s="74" t="n">
        <v>1.07</v>
      </c>
      <c r="X27" s="74" t="n">
        <v>1.09</v>
      </c>
      <c r="Y27" s="74" t="n">
        <v>1.02</v>
      </c>
      <c r="Z27" s="74" t="n">
        <v>0.95</v>
      </c>
      <c r="AA27" s="74" t="n">
        <v>0.86</v>
      </c>
      <c r="AB27" s="74" t="n">
        <v>0.85</v>
      </c>
      <c r="AC27" s="74" t="n">
        <v>1.09</v>
      </c>
      <c r="AD27" s="74"/>
      <c r="AE27" s="74"/>
      <c r="AF27" s="74"/>
      <c r="AG27" s="74"/>
      <c r="AH27" s="74"/>
      <c r="AI27" s="74"/>
      <c r="AJ27" s="74"/>
      <c r="AK27" s="74"/>
      <c r="AL27" s="74"/>
      <c r="AM27" s="91" t="n">
        <f aca="false">AVERAGE(U27:AC27)</f>
        <v>0.976666666666667</v>
      </c>
      <c r="AN27" s="92" t="n">
        <v>3.67</v>
      </c>
      <c r="AO27" s="77"/>
      <c r="AP27" s="75"/>
      <c r="AQ27" s="73" t="n">
        <f aca="false">AN27-(AN27-Q27)*(SIN((S27+AX27)*PI()/180))/(COS(AX27*PI()/180))</f>
        <v>1</v>
      </c>
      <c r="AR27" s="84" t="n">
        <f aca="false">H27+($M$1-M27)-(AN27-Q27)*(COS(S27*PI()/180))*(SIN((T27+13+2.3)*PI()/180))</f>
        <v>633427.674</v>
      </c>
      <c r="AS27" s="84" t="n">
        <f aca="false">I27+($N$1-N27)-(AN27-Q27)*(COS(S27*PI()/180))*(COS((T27+13+2.3)*PI()/180))</f>
        <v>3046017.293</v>
      </c>
      <c r="AT27" s="84" t="n">
        <f aca="false">J27+($O$1-O27)-R27+AN27-(AN27-Q27)*(SIN(S27*PI()/180))-L27</f>
        <v>253.243</v>
      </c>
      <c r="AU27" s="69"/>
      <c r="AV27" s="79"/>
      <c r="AW27" s="59"/>
      <c r="AX27" s="80"/>
    </row>
    <row r="28" customFormat="false" ht="12.75" hidden="false" customHeight="true" outlineLevel="0" collapsed="false">
      <c r="A28" s="96" t="s">
        <v>136</v>
      </c>
      <c r="B28" s="96"/>
      <c r="C28" s="96"/>
      <c r="D28" s="96"/>
      <c r="E28" s="111"/>
      <c r="F28" s="112"/>
      <c r="G28" s="113"/>
      <c r="H28" s="97"/>
      <c r="I28" s="97"/>
      <c r="J28" s="97"/>
      <c r="K28" s="98"/>
      <c r="L28" s="99"/>
      <c r="M28" s="100"/>
      <c r="N28" s="101"/>
      <c r="O28" s="101"/>
      <c r="P28" s="102"/>
      <c r="Q28" s="103"/>
      <c r="R28" s="104"/>
      <c r="S28" s="105"/>
      <c r="T28" s="105"/>
      <c r="U28" s="97"/>
      <c r="V28" s="97"/>
      <c r="W28" s="97"/>
      <c r="X28" s="97"/>
      <c r="Y28" s="97"/>
      <c r="Z28" s="97"/>
      <c r="AA28" s="97"/>
      <c r="AB28" s="97"/>
      <c r="AC28" s="97"/>
      <c r="AD28" s="97"/>
      <c r="AE28" s="97"/>
      <c r="AF28" s="97"/>
      <c r="AG28" s="97"/>
      <c r="AH28" s="97"/>
      <c r="AI28" s="97"/>
      <c r="AJ28" s="97"/>
      <c r="AK28" s="97"/>
      <c r="AL28" s="97"/>
      <c r="AM28" s="106"/>
      <c r="AN28" s="107"/>
      <c r="AO28" s="108"/>
      <c r="AP28" s="109"/>
      <c r="AQ28" s="104"/>
      <c r="AR28" s="99"/>
      <c r="AS28" s="99"/>
      <c r="AT28" s="99"/>
      <c r="AU28" s="96"/>
      <c r="AV28" s="110"/>
      <c r="AW28" s="59"/>
      <c r="AX28" s="105"/>
    </row>
    <row r="29" customFormat="false" ht="12.75" hidden="false" customHeight="true" outlineLevel="0" collapsed="false">
      <c r="A29" s="69" t="s">
        <v>137</v>
      </c>
      <c r="B29" s="69" t="s">
        <v>113</v>
      </c>
      <c r="C29" s="69"/>
      <c r="D29" s="87" t="s">
        <v>103</v>
      </c>
      <c r="E29" s="61"/>
      <c r="F29" s="81"/>
      <c r="G29" s="94" t="s">
        <v>114</v>
      </c>
      <c r="H29" s="1" t="n">
        <v>633195.041</v>
      </c>
      <c r="I29" s="1" t="n">
        <v>3046652.183</v>
      </c>
      <c r="J29" s="1" t="n">
        <v>257.672</v>
      </c>
      <c r="K29" s="79" t="s">
        <v>105</v>
      </c>
      <c r="L29" s="84" t="n">
        <v>0.11</v>
      </c>
      <c r="M29" s="1" t="n">
        <v>633905.233</v>
      </c>
      <c r="N29" s="1" t="n">
        <v>3049240.448</v>
      </c>
      <c r="O29" s="1" t="n">
        <v>56.39</v>
      </c>
      <c r="P29" s="95" t="s">
        <v>106</v>
      </c>
      <c r="Q29" s="72" t="n">
        <v>2.05</v>
      </c>
      <c r="R29" s="73" t="n">
        <v>2.05</v>
      </c>
      <c r="S29" s="90" t="n">
        <v>90</v>
      </c>
      <c r="T29" s="80"/>
      <c r="U29" s="74" t="n">
        <v>0.52</v>
      </c>
      <c r="V29" s="74" t="n">
        <v>0.5</v>
      </c>
      <c r="W29" s="74" t="n">
        <v>0.34</v>
      </c>
      <c r="X29" s="74" t="n">
        <v>0.52</v>
      </c>
      <c r="Y29" s="74" t="n">
        <v>0.5</v>
      </c>
      <c r="Z29" s="74" t="n">
        <v>0.3</v>
      </c>
      <c r="AA29" s="74" t="n">
        <v>0.5</v>
      </c>
      <c r="AB29" s="74" t="n">
        <v>0.53</v>
      </c>
      <c r="AC29" s="74"/>
      <c r="AD29" s="74"/>
      <c r="AE29" s="74"/>
      <c r="AF29" s="74"/>
      <c r="AG29" s="74"/>
      <c r="AH29" s="74"/>
      <c r="AI29" s="74"/>
      <c r="AJ29" s="74"/>
      <c r="AK29" s="74"/>
      <c r="AL29" s="74"/>
      <c r="AM29" s="91" t="n">
        <f aca="false">AVERAGE(U29:AC29)</f>
        <v>0.46375</v>
      </c>
      <c r="AN29" s="92" t="n">
        <v>3.67</v>
      </c>
      <c r="AO29" s="77"/>
      <c r="AP29" s="75"/>
      <c r="AQ29" s="73" t="n">
        <f aca="false">AN29-(AN29-Q29)*(SIN((S29+AX29)*PI()/180))/(COS(AX29*PI()/180))</f>
        <v>2.05</v>
      </c>
      <c r="AR29" s="84" t="n">
        <f aca="false">H29+($M$1-M29)-(AN29-Q29)*(COS(S29*PI()/180))*(SIN((T29+13+2.3)*PI()/180))</f>
        <v>633195.041</v>
      </c>
      <c r="AS29" s="84" t="n">
        <f aca="false">I29+($N$1-N29)-(AN29-Q29)*(COS(S29*PI()/180))*(COS((T29+13+2.3)*PI()/180))</f>
        <v>3046652.183</v>
      </c>
      <c r="AT29" s="84" t="n">
        <f aca="false">J29+($O$1-O29)-R29+AN29-(AN29-Q29)*(SIN(S29*PI()/180))-L29</f>
        <v>257.452</v>
      </c>
      <c r="AU29" s="69"/>
      <c r="AV29" s="79"/>
      <c r="AW29" s="59"/>
      <c r="AX29" s="80"/>
    </row>
    <row r="30" customFormat="false" ht="12.75" hidden="false" customHeight="true" outlineLevel="0" collapsed="false">
      <c r="A30" s="69" t="s">
        <v>138</v>
      </c>
      <c r="B30" s="69" t="s">
        <v>122</v>
      </c>
      <c r="C30" s="69"/>
      <c r="D30" s="87" t="s">
        <v>103</v>
      </c>
      <c r="E30" s="61"/>
      <c r="F30" s="81"/>
      <c r="G30" s="88" t="s">
        <v>123</v>
      </c>
      <c r="H30" s="1" t="n">
        <v>633230.792</v>
      </c>
      <c r="I30" s="1" t="n">
        <v>3046916.007</v>
      </c>
      <c r="J30" s="1" t="n">
        <v>261.658</v>
      </c>
      <c r="K30" s="79" t="s">
        <v>105</v>
      </c>
      <c r="L30" s="84" t="n">
        <v>0.11</v>
      </c>
      <c r="M30" s="1" t="n">
        <v>633905.233</v>
      </c>
      <c r="N30" s="1" t="n">
        <v>3049240.448</v>
      </c>
      <c r="O30" s="1" t="n">
        <v>56.39</v>
      </c>
      <c r="P30" s="95" t="s">
        <v>106</v>
      </c>
      <c r="Q30" s="72" t="n">
        <v>1.85</v>
      </c>
      <c r="R30" s="73" t="n">
        <v>1.85</v>
      </c>
      <c r="S30" s="90" t="n">
        <v>90</v>
      </c>
      <c r="T30" s="80"/>
      <c r="U30" s="74" t="n">
        <v>0.44</v>
      </c>
      <c r="V30" s="74" t="n">
        <v>0.25</v>
      </c>
      <c r="W30" s="74" t="n">
        <v>0.32</v>
      </c>
      <c r="X30" s="74" t="n">
        <v>0.34</v>
      </c>
      <c r="Y30" s="74" t="n">
        <v>0.22</v>
      </c>
      <c r="Z30" s="74" t="n">
        <v>0.23</v>
      </c>
      <c r="AA30" s="74" t="n">
        <v>0.21</v>
      </c>
      <c r="AB30" s="74"/>
      <c r="AC30" s="74"/>
      <c r="AD30" s="74"/>
      <c r="AE30" s="74"/>
      <c r="AF30" s="74"/>
      <c r="AG30" s="74"/>
      <c r="AH30" s="74"/>
      <c r="AI30" s="74"/>
      <c r="AJ30" s="74"/>
      <c r="AK30" s="74"/>
      <c r="AL30" s="74"/>
      <c r="AM30" s="91" t="n">
        <f aca="false">AVERAGE(U30:AC30)</f>
        <v>0.287142857142857</v>
      </c>
      <c r="AN30" s="92" t="n">
        <v>3.67</v>
      </c>
      <c r="AO30" s="77"/>
      <c r="AP30" s="75"/>
      <c r="AQ30" s="73" t="n">
        <f aca="false">AN30-(AN30-Q30)*(SIN((S30+AX30)*PI()/180))/(COS(AX30*PI()/180))</f>
        <v>1.85</v>
      </c>
      <c r="AR30" s="84" t="n">
        <f aca="false">H30+($M$1-M30)-(AN30-Q30)*(COS(S30*PI()/180))*(SIN((T30+13+2.3)*PI()/180))</f>
        <v>633230.792</v>
      </c>
      <c r="AS30" s="84" t="n">
        <f aca="false">I30+($N$1-N30)-(AN30-Q30)*(COS(S30*PI()/180))*(COS((T30+13+2.3)*PI()/180))</f>
        <v>3046916.007</v>
      </c>
      <c r="AT30" s="84" t="n">
        <f aca="false">J30+($O$1-O30)-R30+AN30-(AN30-Q30)*(SIN(S30*PI()/180))-L30</f>
        <v>261.438</v>
      </c>
      <c r="AU30" s="69"/>
      <c r="AV30" s="79"/>
      <c r="AW30" s="59"/>
      <c r="AX30" s="80"/>
    </row>
    <row r="31" customFormat="false" ht="12.75" hidden="false" customHeight="true" outlineLevel="0" collapsed="false">
      <c r="A31" s="69" t="s">
        <v>139</v>
      </c>
      <c r="B31" s="69" t="s">
        <v>113</v>
      </c>
      <c r="C31" s="69"/>
      <c r="D31" s="87" t="s">
        <v>103</v>
      </c>
      <c r="E31" s="61"/>
      <c r="F31" s="81"/>
      <c r="G31" s="94" t="s">
        <v>114</v>
      </c>
      <c r="H31" s="1" t="n">
        <v>632869.55</v>
      </c>
      <c r="I31" s="1" t="n">
        <v>3045645.24</v>
      </c>
      <c r="J31" s="1" t="n">
        <v>182.635</v>
      </c>
      <c r="K31" s="79" t="s">
        <v>105</v>
      </c>
      <c r="L31" s="84" t="n">
        <v>0.11</v>
      </c>
      <c r="M31" s="1" t="n">
        <v>633905.233</v>
      </c>
      <c r="N31" s="1" t="n">
        <v>3049240.448</v>
      </c>
      <c r="O31" s="1" t="n">
        <v>56.39</v>
      </c>
      <c r="P31" s="95" t="s">
        <v>106</v>
      </c>
      <c r="Q31" s="72" t="n">
        <v>1.62</v>
      </c>
      <c r="R31" s="73" t="n">
        <v>1.62</v>
      </c>
      <c r="S31" s="90" t="n">
        <v>90</v>
      </c>
      <c r="T31" s="80"/>
      <c r="U31" s="74" t="n">
        <v>0.36</v>
      </c>
      <c r="V31" s="74" t="n">
        <v>0.37</v>
      </c>
      <c r="W31" s="74" t="n">
        <v>0.33</v>
      </c>
      <c r="X31" s="74" t="n">
        <v>0.35</v>
      </c>
      <c r="Y31" s="74" t="n">
        <v>0.35</v>
      </c>
      <c r="Z31" s="74" t="n">
        <v>0.34</v>
      </c>
      <c r="AA31" s="74" t="n">
        <v>0.44</v>
      </c>
      <c r="AB31" s="74"/>
      <c r="AC31" s="74"/>
      <c r="AD31" s="74"/>
      <c r="AE31" s="74"/>
      <c r="AF31" s="74"/>
      <c r="AG31" s="74"/>
      <c r="AH31" s="74"/>
      <c r="AI31" s="74"/>
      <c r="AJ31" s="74"/>
      <c r="AK31" s="74"/>
      <c r="AL31" s="74"/>
      <c r="AM31" s="91" t="n">
        <f aca="false">AVERAGE(U31:AC31)</f>
        <v>0.362857142857143</v>
      </c>
      <c r="AN31" s="92" t="n">
        <v>3.67</v>
      </c>
      <c r="AO31" s="77"/>
      <c r="AP31" s="75"/>
      <c r="AQ31" s="73" t="n">
        <f aca="false">AN31-(AN31-Q31)*(SIN((S31+AX31)*PI()/180))/(COS(AX31*PI()/180))</f>
        <v>1.62</v>
      </c>
      <c r="AR31" s="84" t="n">
        <f aca="false">H31+($M$1-M31)-(AN31-Q31)*(COS(S31*PI()/180))*(SIN((T31+13+2.3)*PI()/180))</f>
        <v>632869.55</v>
      </c>
      <c r="AS31" s="84" t="n">
        <f aca="false">I31+($N$1-N31)-(AN31-Q31)*(COS(S31*PI()/180))*(COS((T31+13+2.3)*PI()/180))</f>
        <v>3045645.24</v>
      </c>
      <c r="AT31" s="84" t="n">
        <f aca="false">J31+($O$1-O31)-R31+AN31-(AN31-Q31)*(SIN(S31*PI()/180))-L31</f>
        <v>182.415</v>
      </c>
      <c r="AU31" s="69"/>
      <c r="AV31" s="79"/>
      <c r="AW31" s="59"/>
      <c r="AX31" s="80"/>
    </row>
    <row r="32" customFormat="false" ht="12.75" hidden="false" customHeight="true" outlineLevel="0" collapsed="false">
      <c r="A32" s="96" t="s">
        <v>140</v>
      </c>
      <c r="B32" s="96"/>
      <c r="C32" s="96"/>
      <c r="D32" s="96"/>
      <c r="E32" s="111"/>
      <c r="F32" s="112"/>
      <c r="G32" s="113"/>
      <c r="H32" s="114"/>
      <c r="I32" s="114"/>
      <c r="J32" s="114"/>
      <c r="K32" s="98"/>
      <c r="L32" s="99"/>
      <c r="M32" s="100"/>
      <c r="N32" s="101"/>
      <c r="O32" s="101"/>
      <c r="P32" s="102"/>
      <c r="Q32" s="103"/>
      <c r="R32" s="104"/>
      <c r="S32" s="105"/>
      <c r="T32" s="105"/>
      <c r="U32" s="97"/>
      <c r="V32" s="97"/>
      <c r="W32" s="97"/>
      <c r="X32" s="97"/>
      <c r="Y32" s="97"/>
      <c r="Z32" s="97"/>
      <c r="AA32" s="97"/>
      <c r="AB32" s="97"/>
      <c r="AC32" s="97"/>
      <c r="AD32" s="97"/>
      <c r="AE32" s="97"/>
      <c r="AF32" s="97"/>
      <c r="AG32" s="97"/>
      <c r="AH32" s="97"/>
      <c r="AI32" s="97"/>
      <c r="AJ32" s="97"/>
      <c r="AK32" s="97"/>
      <c r="AL32" s="97"/>
      <c r="AM32" s="106"/>
      <c r="AN32" s="107"/>
      <c r="AO32" s="108"/>
      <c r="AP32" s="109"/>
      <c r="AQ32" s="104"/>
      <c r="AR32" s="99"/>
      <c r="AS32" s="99"/>
      <c r="AT32" s="99"/>
      <c r="AU32" s="96"/>
      <c r="AV32" s="110"/>
      <c r="AW32" s="59"/>
      <c r="AX32" s="105"/>
    </row>
    <row r="33" customFormat="false" ht="12.75" hidden="false" customHeight="true" outlineLevel="0" collapsed="false">
      <c r="A33" s="96" t="s">
        <v>141</v>
      </c>
      <c r="B33" s="96"/>
      <c r="C33" s="96"/>
      <c r="D33" s="96"/>
      <c r="E33" s="111"/>
      <c r="F33" s="112"/>
      <c r="G33" s="113"/>
      <c r="H33" s="114"/>
      <c r="I33" s="114"/>
      <c r="J33" s="114"/>
      <c r="K33" s="98"/>
      <c r="L33" s="99"/>
      <c r="M33" s="100"/>
      <c r="N33" s="101"/>
      <c r="O33" s="101"/>
      <c r="P33" s="102"/>
      <c r="Q33" s="103"/>
      <c r="R33" s="104"/>
      <c r="S33" s="105"/>
      <c r="T33" s="105"/>
      <c r="U33" s="97"/>
      <c r="V33" s="97"/>
      <c r="W33" s="97"/>
      <c r="X33" s="97"/>
      <c r="Y33" s="97"/>
      <c r="Z33" s="97"/>
      <c r="AA33" s="97"/>
      <c r="AB33" s="97"/>
      <c r="AC33" s="97"/>
      <c r="AD33" s="97"/>
      <c r="AE33" s="97"/>
      <c r="AF33" s="97"/>
      <c r="AG33" s="97"/>
      <c r="AH33" s="97"/>
      <c r="AI33" s="97"/>
      <c r="AJ33" s="97"/>
      <c r="AK33" s="97"/>
      <c r="AL33" s="97"/>
      <c r="AM33" s="106"/>
      <c r="AN33" s="107"/>
      <c r="AO33" s="108"/>
      <c r="AP33" s="109"/>
      <c r="AQ33" s="104"/>
      <c r="AR33" s="99"/>
      <c r="AS33" s="99"/>
      <c r="AT33" s="99"/>
      <c r="AU33" s="96"/>
      <c r="AV33" s="110"/>
      <c r="AW33" s="59"/>
      <c r="AX33" s="105"/>
    </row>
    <row r="34" customFormat="false" ht="12.75" hidden="false" customHeight="true" outlineLevel="0" collapsed="false">
      <c r="A34" s="69" t="s">
        <v>142</v>
      </c>
      <c r="B34" s="69" t="s">
        <v>101</v>
      </c>
      <c r="C34" s="69"/>
      <c r="D34" s="87" t="s">
        <v>103</v>
      </c>
      <c r="E34" s="61"/>
      <c r="F34" s="81"/>
      <c r="G34" s="88" t="s">
        <v>104</v>
      </c>
      <c r="H34" s="1" t="n">
        <v>634266.757</v>
      </c>
      <c r="I34" s="1" t="n">
        <v>3046661.39</v>
      </c>
      <c r="J34" s="1" t="n">
        <v>319.124</v>
      </c>
      <c r="K34" s="79" t="s">
        <v>105</v>
      </c>
      <c r="L34" s="84" t="n">
        <v>0.11</v>
      </c>
      <c r="M34" s="1" t="n">
        <v>633905.233</v>
      </c>
      <c r="N34" s="1" t="n">
        <v>3049240.448</v>
      </c>
      <c r="O34" s="1" t="n">
        <v>56.39</v>
      </c>
      <c r="P34" s="89" t="s">
        <v>106</v>
      </c>
      <c r="Q34" s="72" t="n">
        <v>0.93</v>
      </c>
      <c r="R34" s="73" t="n">
        <v>0.93</v>
      </c>
      <c r="S34" s="90" t="n">
        <v>90</v>
      </c>
      <c r="T34" s="80"/>
      <c r="U34" s="74" t="n">
        <v>1.1</v>
      </c>
      <c r="V34" s="74" t="n">
        <v>1.2</v>
      </c>
      <c r="W34" s="74" t="n">
        <v>0.92</v>
      </c>
      <c r="X34" s="74" t="n">
        <v>1.03</v>
      </c>
      <c r="Y34" s="74" t="n">
        <v>1.05</v>
      </c>
      <c r="Z34" s="74" t="n">
        <v>1.02</v>
      </c>
      <c r="AA34" s="74" t="n">
        <v>1.08</v>
      </c>
      <c r="AB34" s="74" t="n">
        <v>1.01</v>
      </c>
      <c r="AC34" s="74"/>
      <c r="AD34" s="74"/>
      <c r="AE34" s="74"/>
      <c r="AF34" s="74"/>
      <c r="AG34" s="74"/>
      <c r="AH34" s="74"/>
      <c r="AI34" s="74"/>
      <c r="AJ34" s="74"/>
      <c r="AK34" s="74"/>
      <c r="AL34" s="74"/>
      <c r="AM34" s="91" t="n">
        <f aca="false">AVERAGE(U34:AD34)</f>
        <v>1.05125</v>
      </c>
      <c r="AN34" s="92" t="n">
        <v>3.67</v>
      </c>
      <c r="AO34" s="77" t="s">
        <v>143</v>
      </c>
      <c r="AP34" s="75"/>
      <c r="AQ34" s="73" t="n">
        <f aca="false">AN34-(AN34-Q34)*(SIN((S34+AX34)*PI()/180))/(COS(AX34*PI()/180))</f>
        <v>0.93</v>
      </c>
      <c r="AR34" s="84" t="n">
        <f aca="false">H34+($M$1-M34)-(AN34-Q34)*(COS(S34*PI()/180))*(SIN((T34+13+2.3)*PI()/180))</f>
        <v>634266.757</v>
      </c>
      <c r="AS34" s="84" t="n">
        <f aca="false">I34+($N$1-N34)-(AN34-Q34)*(COS(S34*PI()/180))*(COS((T34+13+2.3)*PI()/180))</f>
        <v>3046661.39</v>
      </c>
      <c r="AT34" s="84" t="n">
        <f aca="false">J34+($O$1-O34)-R34+AN34-(AN34-Q34)*(SIN(S34*PI()/180))-L34</f>
        <v>318.904</v>
      </c>
      <c r="AU34" s="69"/>
      <c r="AV34" s="79"/>
      <c r="AW34" s="59"/>
      <c r="AX34" s="80"/>
    </row>
    <row r="35" customFormat="false" ht="12.75" hidden="false" customHeight="true" outlineLevel="0" collapsed="false">
      <c r="A35" s="96" t="s">
        <v>144</v>
      </c>
      <c r="B35" s="96"/>
      <c r="C35" s="96"/>
      <c r="D35" s="96"/>
      <c r="E35" s="96"/>
      <c r="F35" s="96"/>
      <c r="G35" s="96"/>
      <c r="H35" s="96"/>
      <c r="I35" s="96"/>
      <c r="J35" s="96"/>
      <c r="K35" s="98"/>
      <c r="L35" s="96"/>
      <c r="M35" s="100"/>
      <c r="N35" s="101"/>
      <c r="O35" s="101"/>
      <c r="P35" s="96"/>
      <c r="Q35" s="103"/>
      <c r="R35" s="104"/>
      <c r="S35" s="105"/>
      <c r="T35" s="96"/>
      <c r="U35" s="96"/>
      <c r="V35" s="96"/>
      <c r="W35" s="96"/>
      <c r="X35" s="96"/>
      <c r="Y35" s="96"/>
      <c r="Z35" s="96"/>
      <c r="AA35" s="96"/>
      <c r="AB35" s="96"/>
      <c r="AC35" s="96"/>
      <c r="AD35" s="96"/>
      <c r="AE35" s="96"/>
      <c r="AF35" s="96"/>
      <c r="AG35" s="96"/>
      <c r="AH35" s="96"/>
      <c r="AI35" s="96"/>
      <c r="AJ35" s="96"/>
      <c r="AK35" s="96"/>
      <c r="AL35" s="96"/>
      <c r="AM35" s="115"/>
      <c r="AN35" s="96"/>
      <c r="AO35" s="108"/>
      <c r="AP35" s="96"/>
      <c r="AQ35" s="96"/>
      <c r="AR35" s="96"/>
      <c r="AS35" s="96"/>
      <c r="AT35" s="96"/>
      <c r="AU35" s="96"/>
      <c r="AV35" s="96"/>
      <c r="AW35" s="69"/>
      <c r="AX35" s="96"/>
    </row>
    <row r="36" customFormat="false" ht="12.75" hidden="false" customHeight="true" outlineLevel="0" collapsed="false">
      <c r="A36" s="96" t="s">
        <v>145</v>
      </c>
      <c r="B36" s="96"/>
      <c r="C36" s="96"/>
      <c r="D36" s="96"/>
      <c r="E36" s="111"/>
      <c r="F36" s="112"/>
      <c r="G36" s="113"/>
      <c r="H36" s="97"/>
      <c r="I36" s="97"/>
      <c r="J36" s="97"/>
      <c r="K36" s="98"/>
      <c r="L36" s="99"/>
      <c r="M36" s="100"/>
      <c r="N36" s="101"/>
      <c r="O36" s="101"/>
      <c r="P36" s="102"/>
      <c r="Q36" s="103"/>
      <c r="R36" s="104"/>
      <c r="S36" s="105"/>
      <c r="T36" s="105"/>
      <c r="U36" s="97"/>
      <c r="V36" s="97"/>
      <c r="W36" s="97"/>
      <c r="X36" s="97"/>
      <c r="Y36" s="97"/>
      <c r="Z36" s="97"/>
      <c r="AA36" s="97"/>
      <c r="AB36" s="97"/>
      <c r="AC36" s="97"/>
      <c r="AD36" s="97"/>
      <c r="AE36" s="97"/>
      <c r="AF36" s="97"/>
      <c r="AG36" s="97"/>
      <c r="AH36" s="97"/>
      <c r="AI36" s="97"/>
      <c r="AJ36" s="97"/>
      <c r="AK36" s="97"/>
      <c r="AL36" s="97"/>
      <c r="AM36" s="106"/>
      <c r="AN36" s="107"/>
      <c r="AO36" s="108"/>
      <c r="AP36" s="109"/>
      <c r="AQ36" s="104"/>
      <c r="AR36" s="99"/>
      <c r="AS36" s="99"/>
      <c r="AT36" s="99"/>
      <c r="AU36" s="96"/>
      <c r="AV36" s="110"/>
      <c r="AW36" s="59"/>
      <c r="AX36" s="105"/>
    </row>
    <row r="37" customFormat="false" ht="12.75" hidden="false" customHeight="true" outlineLevel="0" collapsed="false">
      <c r="A37" s="96" t="s">
        <v>146</v>
      </c>
      <c r="B37" s="96"/>
      <c r="C37" s="96"/>
      <c r="D37" s="96"/>
      <c r="E37" s="111"/>
      <c r="F37" s="112"/>
      <c r="G37" s="113"/>
      <c r="H37" s="97"/>
      <c r="I37" s="97"/>
      <c r="J37" s="97"/>
      <c r="K37" s="98"/>
      <c r="L37" s="99"/>
      <c r="M37" s="100"/>
      <c r="N37" s="101"/>
      <c r="O37" s="101"/>
      <c r="P37" s="102"/>
      <c r="Q37" s="103"/>
      <c r="R37" s="104"/>
      <c r="S37" s="105"/>
      <c r="T37" s="105"/>
      <c r="U37" s="97"/>
      <c r="V37" s="97"/>
      <c r="W37" s="97"/>
      <c r="X37" s="97"/>
      <c r="Y37" s="97"/>
      <c r="Z37" s="97"/>
      <c r="AA37" s="97"/>
      <c r="AB37" s="97"/>
      <c r="AC37" s="97"/>
      <c r="AD37" s="97"/>
      <c r="AE37" s="97"/>
      <c r="AF37" s="97"/>
      <c r="AG37" s="97"/>
      <c r="AH37" s="97"/>
      <c r="AI37" s="97"/>
      <c r="AJ37" s="97"/>
      <c r="AK37" s="97"/>
      <c r="AL37" s="97"/>
      <c r="AM37" s="106"/>
      <c r="AN37" s="107"/>
      <c r="AO37" s="108"/>
      <c r="AP37" s="109"/>
      <c r="AQ37" s="104"/>
      <c r="AR37" s="99"/>
      <c r="AS37" s="99"/>
      <c r="AT37" s="99"/>
      <c r="AU37" s="96"/>
      <c r="AV37" s="110"/>
      <c r="AW37" s="59"/>
      <c r="AX37" s="105"/>
    </row>
    <row r="38" customFormat="false" ht="12.75" hidden="false" customHeight="true" outlineLevel="0" collapsed="false">
      <c r="A38" s="96" t="s">
        <v>147</v>
      </c>
      <c r="B38" s="96"/>
      <c r="C38" s="96"/>
      <c r="D38" s="96"/>
      <c r="E38" s="111"/>
      <c r="F38" s="112"/>
      <c r="G38" s="113"/>
      <c r="H38" s="97"/>
      <c r="I38" s="97"/>
      <c r="J38" s="97"/>
      <c r="K38" s="98"/>
      <c r="L38" s="99"/>
      <c r="M38" s="100"/>
      <c r="N38" s="101"/>
      <c r="O38" s="101"/>
      <c r="P38" s="102"/>
      <c r="Q38" s="103"/>
      <c r="R38" s="104"/>
      <c r="S38" s="105"/>
      <c r="T38" s="105"/>
      <c r="U38" s="97"/>
      <c r="V38" s="97"/>
      <c r="W38" s="97"/>
      <c r="X38" s="97"/>
      <c r="Y38" s="97"/>
      <c r="Z38" s="97"/>
      <c r="AA38" s="97"/>
      <c r="AB38" s="97"/>
      <c r="AC38" s="97"/>
      <c r="AD38" s="97"/>
      <c r="AE38" s="97"/>
      <c r="AF38" s="97"/>
      <c r="AG38" s="97"/>
      <c r="AH38" s="97"/>
      <c r="AI38" s="97"/>
      <c r="AJ38" s="97"/>
      <c r="AK38" s="97"/>
      <c r="AL38" s="97"/>
      <c r="AM38" s="106"/>
      <c r="AN38" s="107"/>
      <c r="AO38" s="108"/>
      <c r="AP38" s="109"/>
      <c r="AQ38" s="104"/>
      <c r="AR38" s="99"/>
      <c r="AS38" s="99"/>
      <c r="AT38" s="99"/>
      <c r="AU38" s="96"/>
      <c r="AV38" s="110"/>
      <c r="AW38" s="59"/>
      <c r="AX38" s="105"/>
    </row>
    <row r="39" customFormat="false" ht="12.75" hidden="false" customHeight="true" outlineLevel="0" collapsed="false">
      <c r="A39" s="96" t="s">
        <v>148</v>
      </c>
      <c r="B39" s="96"/>
      <c r="C39" s="96"/>
      <c r="D39" s="96"/>
      <c r="E39" s="111"/>
      <c r="F39" s="112"/>
      <c r="G39" s="113"/>
      <c r="H39" s="104"/>
      <c r="I39" s="97"/>
      <c r="J39" s="97"/>
      <c r="K39" s="96"/>
      <c r="L39" s="99"/>
      <c r="M39" s="100"/>
      <c r="N39" s="101"/>
      <c r="O39" s="101"/>
      <c r="P39" s="102"/>
      <c r="Q39" s="103"/>
      <c r="R39" s="104"/>
      <c r="S39" s="105"/>
      <c r="T39" s="105"/>
      <c r="U39" s="97"/>
      <c r="V39" s="97"/>
      <c r="W39" s="97"/>
      <c r="X39" s="97"/>
      <c r="Y39" s="97"/>
      <c r="Z39" s="97"/>
      <c r="AA39" s="97"/>
      <c r="AB39" s="97"/>
      <c r="AC39" s="97"/>
      <c r="AD39" s="97"/>
      <c r="AE39" s="97"/>
      <c r="AF39" s="97"/>
      <c r="AG39" s="97"/>
      <c r="AH39" s="97"/>
      <c r="AI39" s="97"/>
      <c r="AJ39" s="97"/>
      <c r="AK39" s="97"/>
      <c r="AL39" s="97"/>
      <c r="AM39" s="106"/>
      <c r="AN39" s="107"/>
      <c r="AO39" s="108"/>
      <c r="AP39" s="109"/>
      <c r="AQ39" s="104"/>
      <c r="AR39" s="99"/>
      <c r="AS39" s="99"/>
      <c r="AT39" s="99"/>
      <c r="AU39" s="96"/>
      <c r="AV39" s="110"/>
      <c r="AW39" s="59"/>
      <c r="AX39" s="105"/>
    </row>
    <row r="40" customFormat="false" ht="12.75" hidden="false" customHeight="true" outlineLevel="0" collapsed="false">
      <c r="A40" s="69" t="s">
        <v>149</v>
      </c>
      <c r="B40" s="69" t="s">
        <v>122</v>
      </c>
      <c r="C40" s="69"/>
      <c r="D40" s="87" t="s">
        <v>103</v>
      </c>
      <c r="E40" s="61"/>
      <c r="F40" s="81"/>
      <c r="G40" s="88" t="s">
        <v>123</v>
      </c>
      <c r="H40" s="1" t="n">
        <v>633309.705</v>
      </c>
      <c r="I40" s="1" t="n">
        <v>3047976.955</v>
      </c>
      <c r="J40" s="1" t="n">
        <v>140.916</v>
      </c>
      <c r="K40" s="79" t="s">
        <v>105</v>
      </c>
      <c r="L40" s="84" t="n">
        <v>0.11</v>
      </c>
      <c r="M40" s="1" t="n">
        <v>633905.233</v>
      </c>
      <c r="N40" s="1" t="n">
        <v>3049240.448</v>
      </c>
      <c r="O40" s="1" t="n">
        <v>56.39</v>
      </c>
      <c r="P40" s="95" t="s">
        <v>106</v>
      </c>
      <c r="Q40" s="72" t="n">
        <v>1.78</v>
      </c>
      <c r="R40" s="73" t="n">
        <v>1.78</v>
      </c>
      <c r="S40" s="90" t="n">
        <v>90</v>
      </c>
      <c r="T40" s="80"/>
      <c r="U40" s="74" t="n">
        <v>0.31</v>
      </c>
      <c r="V40" s="74" t="n">
        <v>0.16</v>
      </c>
      <c r="W40" s="74" t="n">
        <v>0.2</v>
      </c>
      <c r="X40" s="74" t="n">
        <v>0.33</v>
      </c>
      <c r="Y40" s="74" t="n">
        <v>0.32</v>
      </c>
      <c r="Z40" s="74" t="n">
        <v>0.26</v>
      </c>
      <c r="AA40" s="74" t="n">
        <v>0.33</v>
      </c>
      <c r="AB40" s="74" t="n">
        <v>0.16</v>
      </c>
      <c r="AC40" s="74"/>
      <c r="AD40" s="74"/>
      <c r="AE40" s="74"/>
      <c r="AF40" s="74"/>
      <c r="AG40" s="93"/>
      <c r="AH40" s="74"/>
      <c r="AI40" s="74"/>
      <c r="AJ40" s="74"/>
      <c r="AK40" s="74"/>
      <c r="AL40" s="74"/>
      <c r="AM40" s="76" t="n">
        <f aca="false">AVERAGE(U40:AC40)</f>
        <v>0.25875</v>
      </c>
      <c r="AN40" s="92" t="n">
        <v>3.67</v>
      </c>
      <c r="AO40" s="77"/>
      <c r="AP40" s="75"/>
      <c r="AQ40" s="73" t="n">
        <f aca="false">AN40-(AN40-Q40)*(SIN((S40+AX40)*PI()/180))/(COS(AX40*PI()/180))</f>
        <v>1.78</v>
      </c>
      <c r="AR40" s="84" t="n">
        <f aca="false">H40+($M$1-M40)-(AN40-Q40)*(COS(S40*PI()/180))*(SIN((T40+13+2.3)*PI()/180))</f>
        <v>633309.705</v>
      </c>
      <c r="AS40" s="84" t="n">
        <f aca="false">I40+($N$1-N40)-(AN40-Q40)*(COS(S40*PI()/180))*(COS((T40+13+2.3)*PI()/180))</f>
        <v>3047976.955</v>
      </c>
      <c r="AT40" s="84" t="n">
        <f aca="false">J40+($O$1-O40)-R40+AN40-(AN40-Q40)*(SIN(S40*PI()/180))-L40</f>
        <v>140.696</v>
      </c>
      <c r="AU40" s="69"/>
      <c r="AV40" s="79"/>
      <c r="AW40" s="59"/>
      <c r="AX40" s="80"/>
    </row>
    <row r="41" customFormat="false" ht="12.75" hidden="false" customHeight="true" outlineLevel="0" collapsed="false">
      <c r="A41" s="96" t="s">
        <v>150</v>
      </c>
      <c r="B41" s="96"/>
      <c r="C41" s="96"/>
      <c r="D41" s="96"/>
      <c r="E41" s="111"/>
      <c r="F41" s="112"/>
      <c r="G41" s="113"/>
      <c r="H41" s="104"/>
      <c r="I41" s="97"/>
      <c r="J41" s="97"/>
      <c r="K41" s="96"/>
      <c r="L41" s="99"/>
      <c r="M41" s="100"/>
      <c r="N41" s="101"/>
      <c r="O41" s="101"/>
      <c r="P41" s="102"/>
      <c r="Q41" s="103"/>
      <c r="R41" s="104"/>
      <c r="S41" s="105"/>
      <c r="T41" s="105"/>
      <c r="U41" s="97"/>
      <c r="V41" s="97"/>
      <c r="W41" s="97"/>
      <c r="X41" s="97"/>
      <c r="Y41" s="97"/>
      <c r="Z41" s="97"/>
      <c r="AA41" s="97"/>
      <c r="AB41" s="97"/>
      <c r="AC41" s="97"/>
      <c r="AD41" s="97"/>
      <c r="AE41" s="97"/>
      <c r="AF41" s="97"/>
      <c r="AG41" s="97"/>
      <c r="AH41" s="97"/>
      <c r="AI41" s="97"/>
      <c r="AJ41" s="97"/>
      <c r="AK41" s="97"/>
      <c r="AL41" s="97"/>
      <c r="AM41" s="106"/>
      <c r="AN41" s="107"/>
      <c r="AO41" s="108"/>
      <c r="AP41" s="109"/>
      <c r="AQ41" s="104"/>
      <c r="AR41" s="99"/>
      <c r="AS41" s="99"/>
      <c r="AT41" s="99"/>
      <c r="AU41" s="96"/>
      <c r="AV41" s="110"/>
      <c r="AW41" s="59"/>
      <c r="AX41" s="105"/>
    </row>
    <row r="42" customFormat="false" ht="12.75" hidden="false" customHeight="true" outlineLevel="0" collapsed="false">
      <c r="A42" s="96" t="s">
        <v>151</v>
      </c>
      <c r="B42" s="96"/>
      <c r="C42" s="96"/>
      <c r="D42" s="96"/>
      <c r="E42" s="111"/>
      <c r="F42" s="112"/>
      <c r="G42" s="113"/>
      <c r="H42" s="104"/>
      <c r="I42" s="97"/>
      <c r="J42" s="97"/>
      <c r="K42" s="96"/>
      <c r="L42" s="99"/>
      <c r="M42" s="100"/>
      <c r="N42" s="101"/>
      <c r="O42" s="101"/>
      <c r="P42" s="102"/>
      <c r="Q42" s="103"/>
      <c r="R42" s="104"/>
      <c r="S42" s="105"/>
      <c r="T42" s="105"/>
      <c r="U42" s="97"/>
      <c r="V42" s="97"/>
      <c r="W42" s="97"/>
      <c r="X42" s="97"/>
      <c r="Y42" s="97"/>
      <c r="Z42" s="97"/>
      <c r="AA42" s="97"/>
      <c r="AB42" s="97"/>
      <c r="AC42" s="97"/>
      <c r="AD42" s="97"/>
      <c r="AE42" s="97"/>
      <c r="AF42" s="97"/>
      <c r="AG42" s="97"/>
      <c r="AH42" s="97"/>
      <c r="AI42" s="97"/>
      <c r="AJ42" s="97"/>
      <c r="AK42" s="97"/>
      <c r="AL42" s="97"/>
      <c r="AM42" s="106"/>
      <c r="AN42" s="107"/>
      <c r="AO42" s="108"/>
      <c r="AP42" s="109"/>
      <c r="AQ42" s="104"/>
      <c r="AR42" s="99"/>
      <c r="AS42" s="99"/>
      <c r="AT42" s="99"/>
      <c r="AU42" s="96"/>
      <c r="AV42" s="110"/>
      <c r="AW42" s="59"/>
      <c r="AX42" s="105"/>
    </row>
    <row r="43" customFormat="false" ht="12.75" hidden="false" customHeight="true" outlineLevel="0" collapsed="false">
      <c r="A43" s="96" t="s">
        <v>152</v>
      </c>
      <c r="B43" s="96"/>
      <c r="C43" s="96"/>
      <c r="D43" s="96"/>
      <c r="E43" s="111"/>
      <c r="F43" s="112"/>
      <c r="G43" s="113"/>
      <c r="H43" s="104"/>
      <c r="I43" s="97"/>
      <c r="J43" s="97"/>
      <c r="K43" s="96"/>
      <c r="L43" s="99"/>
      <c r="M43" s="100"/>
      <c r="N43" s="101"/>
      <c r="O43" s="101"/>
      <c r="P43" s="102"/>
      <c r="Q43" s="103"/>
      <c r="R43" s="104"/>
      <c r="S43" s="105"/>
      <c r="T43" s="105"/>
      <c r="U43" s="97"/>
      <c r="V43" s="97"/>
      <c r="W43" s="97"/>
      <c r="X43" s="97"/>
      <c r="Y43" s="97"/>
      <c r="Z43" s="97"/>
      <c r="AA43" s="97"/>
      <c r="AB43" s="97"/>
      <c r="AC43" s="97"/>
      <c r="AD43" s="97"/>
      <c r="AE43" s="97"/>
      <c r="AF43" s="97"/>
      <c r="AG43" s="97"/>
      <c r="AH43" s="97"/>
      <c r="AI43" s="97"/>
      <c r="AJ43" s="97"/>
      <c r="AK43" s="97"/>
      <c r="AL43" s="97"/>
      <c r="AM43" s="106"/>
      <c r="AN43" s="107"/>
      <c r="AO43" s="108"/>
      <c r="AP43" s="109"/>
      <c r="AQ43" s="104"/>
      <c r="AR43" s="99"/>
      <c r="AS43" s="99"/>
      <c r="AT43" s="99"/>
      <c r="AU43" s="96"/>
      <c r="AV43" s="110"/>
      <c r="AW43" s="59"/>
      <c r="AX43" s="105"/>
    </row>
    <row r="44" customFormat="false" ht="12.75" hidden="false" customHeight="true" outlineLevel="0" collapsed="false">
      <c r="A44" s="96" t="s">
        <v>153</v>
      </c>
      <c r="B44" s="96"/>
      <c r="C44" s="96"/>
      <c r="D44" s="96"/>
      <c r="E44" s="111"/>
      <c r="F44" s="112"/>
      <c r="G44" s="113"/>
      <c r="H44" s="104"/>
      <c r="I44" s="97"/>
      <c r="J44" s="97"/>
      <c r="K44" s="96"/>
      <c r="L44" s="99"/>
      <c r="M44" s="100"/>
      <c r="N44" s="101"/>
      <c r="O44" s="101"/>
      <c r="P44" s="102"/>
      <c r="Q44" s="103"/>
      <c r="R44" s="104"/>
      <c r="S44" s="105"/>
      <c r="T44" s="105"/>
      <c r="U44" s="97"/>
      <c r="V44" s="97"/>
      <c r="W44" s="97"/>
      <c r="X44" s="97"/>
      <c r="Y44" s="97"/>
      <c r="Z44" s="97"/>
      <c r="AA44" s="97"/>
      <c r="AB44" s="97"/>
      <c r="AC44" s="97"/>
      <c r="AD44" s="97"/>
      <c r="AE44" s="97"/>
      <c r="AF44" s="97"/>
      <c r="AG44" s="97"/>
      <c r="AH44" s="97"/>
      <c r="AI44" s="97"/>
      <c r="AJ44" s="97"/>
      <c r="AK44" s="97"/>
      <c r="AL44" s="97"/>
      <c r="AM44" s="106"/>
      <c r="AN44" s="107"/>
      <c r="AO44" s="108"/>
      <c r="AP44" s="109"/>
      <c r="AQ44" s="104"/>
      <c r="AR44" s="99"/>
      <c r="AS44" s="99"/>
      <c r="AT44" s="99"/>
      <c r="AU44" s="96"/>
      <c r="AV44" s="110"/>
      <c r="AW44" s="59"/>
      <c r="AX44" s="105"/>
    </row>
    <row r="45" customFormat="false" ht="12.75" hidden="false" customHeight="true" outlineLevel="0" collapsed="false">
      <c r="A45" s="96" t="s">
        <v>154</v>
      </c>
      <c r="B45" s="96"/>
      <c r="C45" s="96"/>
      <c r="D45" s="96"/>
      <c r="E45" s="111"/>
      <c r="F45" s="112"/>
      <c r="G45" s="113"/>
      <c r="H45" s="104"/>
      <c r="I45" s="97"/>
      <c r="J45" s="97"/>
      <c r="K45" s="96"/>
      <c r="L45" s="99"/>
      <c r="M45" s="100"/>
      <c r="N45" s="101"/>
      <c r="O45" s="101"/>
      <c r="P45" s="102"/>
      <c r="Q45" s="103"/>
      <c r="R45" s="104"/>
      <c r="S45" s="105"/>
      <c r="T45" s="105"/>
      <c r="U45" s="97"/>
      <c r="V45" s="97"/>
      <c r="W45" s="97"/>
      <c r="X45" s="97"/>
      <c r="Y45" s="97"/>
      <c r="Z45" s="97"/>
      <c r="AA45" s="97"/>
      <c r="AB45" s="97"/>
      <c r="AC45" s="97"/>
      <c r="AD45" s="97"/>
      <c r="AE45" s="97"/>
      <c r="AF45" s="97"/>
      <c r="AG45" s="97"/>
      <c r="AH45" s="97"/>
      <c r="AI45" s="97"/>
      <c r="AJ45" s="97"/>
      <c r="AK45" s="97"/>
      <c r="AL45" s="97"/>
      <c r="AM45" s="106"/>
      <c r="AN45" s="107"/>
      <c r="AO45" s="108"/>
      <c r="AP45" s="109"/>
      <c r="AQ45" s="104"/>
      <c r="AR45" s="99"/>
      <c r="AS45" s="99"/>
      <c r="AT45" s="99"/>
      <c r="AU45" s="96"/>
      <c r="AV45" s="110"/>
      <c r="AW45" s="59"/>
      <c r="AX45" s="105"/>
    </row>
    <row r="46" customFormat="false" ht="12.75" hidden="false" customHeight="true" outlineLevel="0" collapsed="false">
      <c r="A46" s="96" t="s">
        <v>155</v>
      </c>
      <c r="B46" s="96"/>
      <c r="C46" s="96"/>
      <c r="D46" s="96"/>
      <c r="E46" s="111"/>
      <c r="F46" s="112"/>
      <c r="G46" s="113"/>
      <c r="H46" s="104"/>
      <c r="I46" s="97"/>
      <c r="J46" s="97"/>
      <c r="K46" s="96"/>
      <c r="L46" s="99"/>
      <c r="M46" s="100"/>
      <c r="N46" s="101"/>
      <c r="O46" s="101"/>
      <c r="P46" s="102"/>
      <c r="Q46" s="103"/>
      <c r="R46" s="104"/>
      <c r="S46" s="105"/>
      <c r="T46" s="105"/>
      <c r="U46" s="97"/>
      <c r="V46" s="97"/>
      <c r="W46" s="97"/>
      <c r="X46" s="97"/>
      <c r="Y46" s="97"/>
      <c r="Z46" s="97"/>
      <c r="AA46" s="97"/>
      <c r="AB46" s="97"/>
      <c r="AC46" s="97"/>
      <c r="AD46" s="97"/>
      <c r="AE46" s="97"/>
      <c r="AF46" s="97"/>
      <c r="AG46" s="97"/>
      <c r="AH46" s="97"/>
      <c r="AI46" s="97"/>
      <c r="AJ46" s="97"/>
      <c r="AK46" s="97"/>
      <c r="AL46" s="97"/>
      <c r="AM46" s="106"/>
      <c r="AN46" s="107"/>
      <c r="AO46" s="108"/>
      <c r="AP46" s="109"/>
      <c r="AQ46" s="104"/>
      <c r="AR46" s="99"/>
      <c r="AS46" s="99"/>
      <c r="AT46" s="99"/>
      <c r="AU46" s="96"/>
      <c r="AV46" s="110"/>
      <c r="AW46" s="59"/>
      <c r="AX46" s="105"/>
    </row>
    <row r="47" customFormat="false" ht="12.75" hidden="false" customHeight="true" outlineLevel="0" collapsed="false">
      <c r="A47" s="96" t="s">
        <v>156</v>
      </c>
      <c r="B47" s="96"/>
      <c r="C47" s="96"/>
      <c r="D47" s="96"/>
      <c r="E47" s="111"/>
      <c r="F47" s="112"/>
      <c r="G47" s="113"/>
      <c r="H47" s="104"/>
      <c r="I47" s="97"/>
      <c r="J47" s="97"/>
      <c r="K47" s="96"/>
      <c r="L47" s="99"/>
      <c r="M47" s="100"/>
      <c r="N47" s="101"/>
      <c r="O47" s="101"/>
      <c r="P47" s="102"/>
      <c r="Q47" s="103"/>
      <c r="R47" s="104"/>
      <c r="S47" s="105"/>
      <c r="T47" s="105"/>
      <c r="U47" s="97"/>
      <c r="V47" s="97"/>
      <c r="W47" s="97"/>
      <c r="X47" s="97"/>
      <c r="Y47" s="97"/>
      <c r="Z47" s="97"/>
      <c r="AA47" s="97"/>
      <c r="AB47" s="97"/>
      <c r="AC47" s="97"/>
      <c r="AD47" s="97"/>
      <c r="AE47" s="97"/>
      <c r="AF47" s="97"/>
      <c r="AG47" s="97"/>
      <c r="AH47" s="97"/>
      <c r="AI47" s="97"/>
      <c r="AJ47" s="97"/>
      <c r="AK47" s="97"/>
      <c r="AL47" s="97"/>
      <c r="AM47" s="106"/>
      <c r="AN47" s="107"/>
      <c r="AO47" s="108"/>
      <c r="AP47" s="109"/>
      <c r="AQ47" s="104"/>
      <c r="AR47" s="99"/>
      <c r="AS47" s="99"/>
      <c r="AT47" s="99"/>
      <c r="AU47" s="96"/>
      <c r="AV47" s="110"/>
      <c r="AW47" s="59"/>
      <c r="AX47" s="105"/>
    </row>
    <row r="48" customFormat="false" ht="12.75" hidden="false" customHeight="true" outlineLevel="0" collapsed="false">
      <c r="A48" s="96" t="s">
        <v>157</v>
      </c>
      <c r="B48" s="96"/>
      <c r="C48" s="96"/>
      <c r="D48" s="96"/>
      <c r="E48" s="111"/>
      <c r="F48" s="112"/>
      <c r="G48" s="113"/>
      <c r="H48" s="104"/>
      <c r="I48" s="97"/>
      <c r="J48" s="97"/>
      <c r="K48" s="96"/>
      <c r="L48" s="99"/>
      <c r="M48" s="100"/>
      <c r="N48" s="101"/>
      <c r="O48" s="101"/>
      <c r="P48" s="102"/>
      <c r="Q48" s="103"/>
      <c r="R48" s="104"/>
      <c r="S48" s="105"/>
      <c r="T48" s="105"/>
      <c r="U48" s="97"/>
      <c r="V48" s="97"/>
      <c r="W48" s="97"/>
      <c r="X48" s="97"/>
      <c r="Y48" s="97"/>
      <c r="Z48" s="97"/>
      <c r="AA48" s="97"/>
      <c r="AB48" s="97"/>
      <c r="AC48" s="97"/>
      <c r="AD48" s="97"/>
      <c r="AE48" s="97"/>
      <c r="AF48" s="97"/>
      <c r="AG48" s="97"/>
      <c r="AH48" s="97"/>
      <c r="AI48" s="97"/>
      <c r="AJ48" s="97"/>
      <c r="AK48" s="97"/>
      <c r="AL48" s="97"/>
      <c r="AM48" s="106"/>
      <c r="AN48" s="107"/>
      <c r="AO48" s="108"/>
      <c r="AP48" s="109"/>
      <c r="AQ48" s="104"/>
      <c r="AR48" s="99"/>
      <c r="AS48" s="99"/>
      <c r="AT48" s="99"/>
      <c r="AU48" s="96"/>
      <c r="AV48" s="110"/>
      <c r="AW48" s="59"/>
      <c r="AX48" s="105"/>
    </row>
    <row r="49" customFormat="false" ht="12.75" hidden="false" customHeight="true" outlineLevel="0" collapsed="false">
      <c r="A49" s="96" t="s">
        <v>158</v>
      </c>
      <c r="B49" s="96"/>
      <c r="C49" s="96"/>
      <c r="D49" s="96"/>
      <c r="E49" s="111"/>
      <c r="F49" s="112"/>
      <c r="G49" s="113"/>
      <c r="H49" s="104"/>
      <c r="I49" s="97"/>
      <c r="J49" s="97"/>
      <c r="K49" s="96"/>
      <c r="L49" s="99"/>
      <c r="M49" s="100"/>
      <c r="N49" s="101"/>
      <c r="O49" s="101"/>
      <c r="P49" s="102"/>
      <c r="Q49" s="103"/>
      <c r="R49" s="104"/>
      <c r="S49" s="105"/>
      <c r="T49" s="105"/>
      <c r="U49" s="97"/>
      <c r="V49" s="97"/>
      <c r="W49" s="97"/>
      <c r="X49" s="97"/>
      <c r="Y49" s="97"/>
      <c r="Z49" s="97"/>
      <c r="AA49" s="97"/>
      <c r="AB49" s="97"/>
      <c r="AC49" s="97"/>
      <c r="AD49" s="97"/>
      <c r="AE49" s="97"/>
      <c r="AF49" s="97"/>
      <c r="AG49" s="97"/>
      <c r="AH49" s="97"/>
      <c r="AI49" s="97"/>
      <c r="AJ49" s="97"/>
      <c r="AK49" s="97"/>
      <c r="AL49" s="97"/>
      <c r="AM49" s="106"/>
      <c r="AN49" s="107"/>
      <c r="AO49" s="108"/>
      <c r="AP49" s="109"/>
      <c r="AQ49" s="104"/>
      <c r="AR49" s="99"/>
      <c r="AS49" s="99"/>
      <c r="AT49" s="99"/>
      <c r="AU49" s="96"/>
      <c r="AV49" s="110"/>
      <c r="AW49" s="59"/>
      <c r="AX49" s="105"/>
    </row>
    <row r="50" customFormat="false" ht="12.75" hidden="false" customHeight="true" outlineLevel="0" collapsed="false">
      <c r="A50" s="96" t="s">
        <v>159</v>
      </c>
      <c r="B50" s="96"/>
      <c r="C50" s="96"/>
      <c r="D50" s="96"/>
      <c r="E50" s="111"/>
      <c r="F50" s="112"/>
      <c r="G50" s="113"/>
      <c r="H50" s="104"/>
      <c r="I50" s="97"/>
      <c r="J50" s="97"/>
      <c r="K50" s="96"/>
      <c r="L50" s="99"/>
      <c r="M50" s="100"/>
      <c r="N50" s="101"/>
      <c r="O50" s="101"/>
      <c r="P50" s="102"/>
      <c r="Q50" s="103"/>
      <c r="R50" s="104"/>
      <c r="S50" s="105"/>
      <c r="T50" s="105"/>
      <c r="U50" s="97"/>
      <c r="V50" s="97"/>
      <c r="W50" s="97"/>
      <c r="X50" s="97"/>
      <c r="Y50" s="97"/>
      <c r="Z50" s="97"/>
      <c r="AA50" s="97"/>
      <c r="AB50" s="97"/>
      <c r="AC50" s="97"/>
      <c r="AD50" s="97"/>
      <c r="AE50" s="97"/>
      <c r="AF50" s="97"/>
      <c r="AG50" s="97"/>
      <c r="AH50" s="97"/>
      <c r="AI50" s="97"/>
      <c r="AJ50" s="97"/>
      <c r="AK50" s="97"/>
      <c r="AL50" s="97"/>
      <c r="AM50" s="106"/>
      <c r="AN50" s="107"/>
      <c r="AO50" s="108"/>
      <c r="AP50" s="109"/>
      <c r="AQ50" s="104"/>
      <c r="AR50" s="99"/>
      <c r="AS50" s="99"/>
      <c r="AT50" s="99"/>
      <c r="AU50" s="96"/>
      <c r="AV50" s="110"/>
      <c r="AW50" s="59"/>
      <c r="AX50" s="105"/>
    </row>
    <row r="51" customFormat="false" ht="12.75" hidden="false" customHeight="true" outlineLevel="0" collapsed="false">
      <c r="A51" s="96" t="s">
        <v>160</v>
      </c>
      <c r="B51" s="96"/>
      <c r="C51" s="96"/>
      <c r="D51" s="96"/>
      <c r="E51" s="111"/>
      <c r="F51" s="112"/>
      <c r="G51" s="113"/>
      <c r="H51" s="104"/>
      <c r="I51" s="97"/>
      <c r="J51" s="97"/>
      <c r="K51" s="96"/>
      <c r="L51" s="99"/>
      <c r="M51" s="100"/>
      <c r="N51" s="101"/>
      <c r="O51" s="101"/>
      <c r="P51" s="102"/>
      <c r="Q51" s="103"/>
      <c r="R51" s="104"/>
      <c r="S51" s="105"/>
      <c r="T51" s="105"/>
      <c r="U51" s="97"/>
      <c r="V51" s="97"/>
      <c r="W51" s="97"/>
      <c r="X51" s="97"/>
      <c r="Y51" s="97"/>
      <c r="Z51" s="97"/>
      <c r="AA51" s="97"/>
      <c r="AB51" s="97"/>
      <c r="AC51" s="97"/>
      <c r="AD51" s="97"/>
      <c r="AE51" s="97"/>
      <c r="AF51" s="97"/>
      <c r="AG51" s="97"/>
      <c r="AH51" s="97"/>
      <c r="AI51" s="97"/>
      <c r="AJ51" s="97"/>
      <c r="AK51" s="97"/>
      <c r="AL51" s="97"/>
      <c r="AM51" s="106"/>
      <c r="AN51" s="107"/>
      <c r="AO51" s="108"/>
      <c r="AP51" s="109"/>
      <c r="AQ51" s="104"/>
      <c r="AR51" s="99"/>
      <c r="AS51" s="99"/>
      <c r="AT51" s="99"/>
      <c r="AU51" s="96"/>
      <c r="AV51" s="110"/>
      <c r="AW51" s="59"/>
      <c r="AX51" s="105"/>
    </row>
    <row r="52" customFormat="false" ht="12.75" hidden="false" customHeight="true" outlineLevel="0" collapsed="false">
      <c r="A52" s="96" t="s">
        <v>161</v>
      </c>
      <c r="B52" s="96"/>
      <c r="C52" s="96"/>
      <c r="D52" s="96"/>
      <c r="E52" s="111"/>
      <c r="F52" s="112"/>
      <c r="G52" s="113"/>
      <c r="H52" s="104"/>
      <c r="I52" s="97"/>
      <c r="J52" s="97"/>
      <c r="K52" s="96"/>
      <c r="L52" s="99"/>
      <c r="M52" s="100"/>
      <c r="N52" s="101"/>
      <c r="O52" s="101"/>
      <c r="P52" s="102"/>
      <c r="Q52" s="103"/>
      <c r="R52" s="104"/>
      <c r="S52" s="105"/>
      <c r="T52" s="105"/>
      <c r="U52" s="97"/>
      <c r="V52" s="97"/>
      <c r="W52" s="97"/>
      <c r="X52" s="97"/>
      <c r="Y52" s="97"/>
      <c r="Z52" s="97"/>
      <c r="AA52" s="97"/>
      <c r="AB52" s="97"/>
      <c r="AC52" s="97"/>
      <c r="AD52" s="97"/>
      <c r="AE52" s="97"/>
      <c r="AF52" s="97"/>
      <c r="AG52" s="97"/>
      <c r="AH52" s="97"/>
      <c r="AI52" s="97"/>
      <c r="AJ52" s="97"/>
      <c r="AK52" s="97"/>
      <c r="AL52" s="97"/>
      <c r="AM52" s="106"/>
      <c r="AN52" s="107"/>
      <c r="AO52" s="108"/>
      <c r="AP52" s="109"/>
      <c r="AQ52" s="104"/>
      <c r="AR52" s="99"/>
      <c r="AS52" s="99"/>
      <c r="AT52" s="99"/>
      <c r="AU52" s="96"/>
      <c r="AV52" s="110"/>
      <c r="AW52" s="59"/>
      <c r="AX52" s="105"/>
    </row>
    <row r="53" customFormat="false" ht="12.75" hidden="false" customHeight="true" outlineLevel="0" collapsed="false">
      <c r="A53" s="96" t="s">
        <v>162</v>
      </c>
      <c r="B53" s="96"/>
      <c r="C53" s="96"/>
      <c r="D53" s="96"/>
      <c r="E53" s="111"/>
      <c r="F53" s="112"/>
      <c r="G53" s="113"/>
      <c r="H53" s="104"/>
      <c r="I53" s="97"/>
      <c r="J53" s="97"/>
      <c r="K53" s="96"/>
      <c r="L53" s="99"/>
      <c r="M53" s="100"/>
      <c r="N53" s="101"/>
      <c r="O53" s="101"/>
      <c r="P53" s="102"/>
      <c r="Q53" s="103"/>
      <c r="R53" s="104"/>
      <c r="S53" s="105"/>
      <c r="T53" s="105"/>
      <c r="U53" s="97"/>
      <c r="V53" s="97"/>
      <c r="W53" s="97"/>
      <c r="X53" s="97"/>
      <c r="Y53" s="97"/>
      <c r="Z53" s="97"/>
      <c r="AA53" s="97"/>
      <c r="AB53" s="97"/>
      <c r="AC53" s="97"/>
      <c r="AD53" s="97"/>
      <c r="AE53" s="97"/>
      <c r="AF53" s="97"/>
      <c r="AG53" s="97"/>
      <c r="AH53" s="97"/>
      <c r="AI53" s="97"/>
      <c r="AJ53" s="97"/>
      <c r="AK53" s="97"/>
      <c r="AL53" s="97"/>
      <c r="AM53" s="106"/>
      <c r="AN53" s="107"/>
      <c r="AO53" s="108"/>
      <c r="AP53" s="109"/>
      <c r="AQ53" s="104"/>
      <c r="AR53" s="99"/>
      <c r="AS53" s="99"/>
      <c r="AT53" s="99"/>
      <c r="AU53" s="96"/>
      <c r="AV53" s="110"/>
      <c r="AW53" s="59"/>
      <c r="AX53" s="105"/>
    </row>
    <row r="54" customFormat="false" ht="12.75" hidden="false" customHeight="true" outlineLevel="0" collapsed="false">
      <c r="A54" s="96" t="s">
        <v>163</v>
      </c>
      <c r="B54" s="96"/>
      <c r="C54" s="96"/>
      <c r="D54" s="96"/>
      <c r="E54" s="111"/>
      <c r="F54" s="112"/>
      <c r="G54" s="113"/>
      <c r="H54" s="104"/>
      <c r="I54" s="97"/>
      <c r="J54" s="97"/>
      <c r="K54" s="96"/>
      <c r="L54" s="99"/>
      <c r="M54" s="100"/>
      <c r="N54" s="101"/>
      <c r="O54" s="101"/>
      <c r="P54" s="102"/>
      <c r="Q54" s="103"/>
      <c r="R54" s="104"/>
      <c r="S54" s="105"/>
      <c r="T54" s="105"/>
      <c r="U54" s="97"/>
      <c r="V54" s="97"/>
      <c r="W54" s="97"/>
      <c r="X54" s="97"/>
      <c r="Y54" s="97"/>
      <c r="Z54" s="97"/>
      <c r="AA54" s="97"/>
      <c r="AB54" s="97"/>
      <c r="AC54" s="97"/>
      <c r="AD54" s="97"/>
      <c r="AE54" s="97"/>
      <c r="AF54" s="97"/>
      <c r="AG54" s="97"/>
      <c r="AH54" s="97"/>
      <c r="AI54" s="97"/>
      <c r="AJ54" s="97"/>
      <c r="AK54" s="97"/>
      <c r="AL54" s="97"/>
      <c r="AM54" s="106"/>
      <c r="AN54" s="107"/>
      <c r="AO54" s="108"/>
      <c r="AP54" s="109"/>
      <c r="AQ54" s="104"/>
      <c r="AR54" s="99"/>
      <c r="AS54" s="99"/>
      <c r="AT54" s="99"/>
      <c r="AU54" s="96"/>
      <c r="AV54" s="110"/>
      <c r="AW54" s="59"/>
      <c r="AX54" s="105"/>
    </row>
    <row r="55" customFormat="false" ht="12.75" hidden="false" customHeight="true" outlineLevel="0" collapsed="false">
      <c r="A55" s="96" t="s">
        <v>164</v>
      </c>
      <c r="B55" s="96"/>
      <c r="C55" s="96"/>
      <c r="D55" s="96"/>
      <c r="E55" s="111"/>
      <c r="F55" s="112"/>
      <c r="G55" s="113"/>
      <c r="H55" s="104"/>
      <c r="I55" s="97"/>
      <c r="J55" s="97"/>
      <c r="K55" s="96"/>
      <c r="L55" s="99"/>
      <c r="M55" s="100"/>
      <c r="N55" s="101"/>
      <c r="O55" s="101"/>
      <c r="P55" s="102"/>
      <c r="Q55" s="103"/>
      <c r="R55" s="104"/>
      <c r="S55" s="105"/>
      <c r="T55" s="105"/>
      <c r="U55" s="97"/>
      <c r="V55" s="97"/>
      <c r="W55" s="97"/>
      <c r="X55" s="97"/>
      <c r="Y55" s="97"/>
      <c r="Z55" s="97"/>
      <c r="AA55" s="97"/>
      <c r="AB55" s="97"/>
      <c r="AC55" s="97"/>
      <c r="AD55" s="97"/>
      <c r="AE55" s="97"/>
      <c r="AF55" s="97"/>
      <c r="AG55" s="97"/>
      <c r="AH55" s="97"/>
      <c r="AI55" s="97"/>
      <c r="AJ55" s="97"/>
      <c r="AK55" s="97"/>
      <c r="AL55" s="97"/>
      <c r="AM55" s="106"/>
      <c r="AN55" s="107"/>
      <c r="AO55" s="108"/>
      <c r="AP55" s="109"/>
      <c r="AQ55" s="104"/>
      <c r="AR55" s="99"/>
      <c r="AS55" s="99"/>
      <c r="AT55" s="99"/>
      <c r="AU55" s="96"/>
      <c r="AV55" s="110"/>
      <c r="AW55" s="59"/>
      <c r="AX55" s="105"/>
    </row>
    <row r="56" customFormat="false" ht="12.75" hidden="false" customHeight="true" outlineLevel="0" collapsed="false">
      <c r="A56" s="96" t="s">
        <v>165</v>
      </c>
      <c r="B56" s="96"/>
      <c r="C56" s="96"/>
      <c r="D56" s="96"/>
      <c r="E56" s="111"/>
      <c r="F56" s="112"/>
      <c r="G56" s="113"/>
      <c r="H56" s="104"/>
      <c r="I56" s="97"/>
      <c r="J56" s="97"/>
      <c r="K56" s="96"/>
      <c r="L56" s="99"/>
      <c r="M56" s="100"/>
      <c r="N56" s="101"/>
      <c r="O56" s="101"/>
      <c r="P56" s="102"/>
      <c r="Q56" s="103"/>
      <c r="R56" s="104"/>
      <c r="S56" s="105"/>
      <c r="T56" s="105"/>
      <c r="U56" s="97"/>
      <c r="V56" s="97"/>
      <c r="W56" s="97"/>
      <c r="X56" s="97"/>
      <c r="Y56" s="97"/>
      <c r="Z56" s="97"/>
      <c r="AA56" s="97"/>
      <c r="AB56" s="97"/>
      <c r="AC56" s="97"/>
      <c r="AD56" s="97"/>
      <c r="AE56" s="97"/>
      <c r="AF56" s="97"/>
      <c r="AG56" s="97"/>
      <c r="AH56" s="97"/>
      <c r="AI56" s="97"/>
      <c r="AJ56" s="97"/>
      <c r="AK56" s="97"/>
      <c r="AL56" s="97"/>
      <c r="AM56" s="106"/>
      <c r="AN56" s="107"/>
      <c r="AO56" s="108"/>
      <c r="AP56" s="109"/>
      <c r="AQ56" s="104"/>
      <c r="AR56" s="99"/>
      <c r="AS56" s="99"/>
      <c r="AT56" s="99"/>
      <c r="AU56" s="96"/>
      <c r="AV56" s="110"/>
      <c r="AW56" s="59"/>
      <c r="AX56" s="105"/>
    </row>
    <row r="57" customFormat="false" ht="12.75" hidden="false" customHeight="true" outlineLevel="0" collapsed="false">
      <c r="A57" s="69" t="s">
        <v>166</v>
      </c>
      <c r="B57" s="69" t="s">
        <v>122</v>
      </c>
      <c r="C57" s="69"/>
      <c r="D57" s="87" t="s">
        <v>103</v>
      </c>
      <c r="E57" s="61"/>
      <c r="F57" s="81"/>
      <c r="G57" s="88" t="s">
        <v>123</v>
      </c>
      <c r="H57" s="1" t="n">
        <v>633209.83</v>
      </c>
      <c r="I57" s="1" t="n">
        <v>3047845.245</v>
      </c>
      <c r="J57" s="1" t="n">
        <v>138.683</v>
      </c>
      <c r="K57" s="79" t="s">
        <v>105</v>
      </c>
      <c r="L57" s="84" t="n">
        <v>0.11</v>
      </c>
      <c r="M57" s="1" t="n">
        <v>633905.233</v>
      </c>
      <c r="N57" s="1" t="n">
        <v>3049240.448</v>
      </c>
      <c r="O57" s="1" t="n">
        <v>56.39</v>
      </c>
      <c r="P57" s="95" t="s">
        <v>106</v>
      </c>
      <c r="Q57" s="74" t="n">
        <v>1.89</v>
      </c>
      <c r="R57" s="74" t="n">
        <v>1.89</v>
      </c>
      <c r="S57" s="90" t="n">
        <v>90</v>
      </c>
      <c r="T57" s="80"/>
      <c r="U57" s="74" t="n">
        <v>0.3</v>
      </c>
      <c r="V57" s="74" t="n">
        <v>0.23</v>
      </c>
      <c r="W57" s="74" t="n">
        <v>0.3</v>
      </c>
      <c r="X57" s="74" t="n">
        <v>0.23</v>
      </c>
      <c r="Y57" s="74" t="n">
        <v>0.31</v>
      </c>
      <c r="Z57" s="74" t="n">
        <v>0.23</v>
      </c>
      <c r="AA57" s="74" t="n">
        <v>0.3</v>
      </c>
      <c r="AB57" s="74" t="n">
        <v>0.23</v>
      </c>
      <c r="AC57" s="74"/>
      <c r="AD57" s="74"/>
      <c r="AE57" s="74"/>
      <c r="AF57" s="74"/>
      <c r="AG57" s="74"/>
      <c r="AH57" s="74"/>
      <c r="AI57" s="74"/>
      <c r="AJ57" s="74"/>
      <c r="AK57" s="74"/>
      <c r="AL57" s="74"/>
      <c r="AM57" s="76" t="n">
        <f aca="false">AVERAGE(U57:AC57)</f>
        <v>0.26625</v>
      </c>
      <c r="AN57" s="92" t="n">
        <v>3.67</v>
      </c>
      <c r="AO57" s="77"/>
      <c r="AP57" s="75"/>
      <c r="AQ57" s="73" t="n">
        <f aca="false">AN57-(AN57-Q57)*(SIN((S57+AX57)*PI()/180))/(COS(AX57*PI()/180))</f>
        <v>1.89</v>
      </c>
      <c r="AR57" s="84" t="n">
        <f aca="false">H57+($M$1-M57)-(AN57-Q57)*(COS(S57*PI()/180))*(SIN((T57+13+2.3)*PI()/180))</f>
        <v>633209.83</v>
      </c>
      <c r="AS57" s="84" t="n">
        <f aca="false">I57+($N$1-N57)-(AN57-Q57)*(COS(S57*PI()/180))*(COS((T57+13+2.3)*PI()/180))</f>
        <v>3047845.245</v>
      </c>
      <c r="AT57" s="84" t="n">
        <f aca="false">J57+($O$1-O57)-R57+AN57-(AN57-Q57)*(SIN(S57*PI()/180))-L57</f>
        <v>138.463</v>
      </c>
      <c r="AU57" s="69"/>
      <c r="AV57" s="79"/>
      <c r="AW57" s="59"/>
      <c r="AX57" s="80"/>
    </row>
    <row r="58" customFormat="false" ht="12.75" hidden="false" customHeight="true" outlineLevel="0" collapsed="false">
      <c r="A58" s="69" t="s">
        <v>167</v>
      </c>
      <c r="B58" s="69" t="s">
        <v>122</v>
      </c>
      <c r="C58" s="69"/>
      <c r="D58" s="87" t="s">
        <v>103</v>
      </c>
      <c r="E58" s="61"/>
      <c r="F58" s="81"/>
      <c r="G58" s="88" t="s">
        <v>123</v>
      </c>
      <c r="H58" s="1" t="n">
        <v>632964.596</v>
      </c>
      <c r="I58" s="1" t="n">
        <v>3047128.802</v>
      </c>
      <c r="J58" s="1" t="n">
        <v>168.206</v>
      </c>
      <c r="K58" s="79" t="s">
        <v>105</v>
      </c>
      <c r="L58" s="84" t="n">
        <v>0.11</v>
      </c>
      <c r="M58" s="1" t="n">
        <v>633905.233</v>
      </c>
      <c r="N58" s="1" t="n">
        <v>3049240.448</v>
      </c>
      <c r="O58" s="1" t="n">
        <v>56.39</v>
      </c>
      <c r="P58" s="95" t="s">
        <v>106</v>
      </c>
      <c r="Q58" s="72" t="n">
        <v>0.64</v>
      </c>
      <c r="R58" s="73" t="n">
        <v>0.64</v>
      </c>
      <c r="S58" s="90" t="n">
        <v>90</v>
      </c>
      <c r="T58" s="80"/>
      <c r="U58" s="74" t="n">
        <v>0.59</v>
      </c>
      <c r="V58" s="74" t="n">
        <v>0.59</v>
      </c>
      <c r="W58" s="74" t="n">
        <v>0.58</v>
      </c>
      <c r="X58" s="74" t="n">
        <v>0.6</v>
      </c>
      <c r="Y58" s="74" t="n">
        <v>0.6</v>
      </c>
      <c r="Z58" s="74" t="n">
        <v>0.75</v>
      </c>
      <c r="AA58" s="74"/>
      <c r="AB58" s="74"/>
      <c r="AC58" s="74"/>
      <c r="AD58" s="74"/>
      <c r="AE58" s="74"/>
      <c r="AF58" s="74"/>
      <c r="AG58" s="74"/>
      <c r="AH58" s="74"/>
      <c r="AI58" s="74"/>
      <c r="AJ58" s="74"/>
      <c r="AK58" s="74"/>
      <c r="AL58" s="74"/>
      <c r="AM58" s="76" t="n">
        <f aca="false">AVERAGE(U58:AC58)</f>
        <v>0.618333333333333</v>
      </c>
      <c r="AN58" s="92" t="n">
        <v>3.67</v>
      </c>
      <c r="AO58" s="77" t="s">
        <v>168</v>
      </c>
      <c r="AP58" s="75"/>
      <c r="AQ58" s="73" t="n">
        <f aca="false">AN58-(AN58-Q58)*(SIN((S58+AX58)*PI()/180))/(COS(AX58*PI()/180))</f>
        <v>0.64</v>
      </c>
      <c r="AR58" s="84" t="n">
        <f aca="false">H58+($M$1-M58)-(AN58-Q58)*(COS(S58*PI()/180))*(SIN((T58+13+2.3)*PI()/180))</f>
        <v>632964.596</v>
      </c>
      <c r="AS58" s="84" t="n">
        <f aca="false">I58+($N$1-N58)-(AN58-Q58)*(COS(S58*PI()/180))*(COS((T58+13+2.3)*PI()/180))</f>
        <v>3047128.802</v>
      </c>
      <c r="AT58" s="84" t="n">
        <f aca="false">J58+($O$1-O58)-R58+AN58-(AN58-Q58)*(SIN(S58*PI()/180))-L58</f>
        <v>167.986</v>
      </c>
      <c r="AU58" s="69"/>
      <c r="AV58" s="79"/>
      <c r="AW58" s="59"/>
      <c r="AX58" s="80"/>
    </row>
    <row r="59" customFormat="false" ht="12.75" hidden="false" customHeight="true" outlineLevel="0" collapsed="false">
      <c r="A59" s="69" t="s">
        <v>169</v>
      </c>
      <c r="B59" s="69" t="s">
        <v>122</v>
      </c>
      <c r="C59" s="69"/>
      <c r="D59" s="87" t="s">
        <v>103</v>
      </c>
      <c r="E59" s="61"/>
      <c r="F59" s="81"/>
      <c r="G59" s="88" t="s">
        <v>123</v>
      </c>
      <c r="H59" s="1" t="n">
        <v>632846.337</v>
      </c>
      <c r="I59" s="1" t="n">
        <v>3047016.61</v>
      </c>
      <c r="J59" s="1" t="n">
        <v>145.076</v>
      </c>
      <c r="K59" s="79" t="s">
        <v>105</v>
      </c>
      <c r="L59" s="84" t="n">
        <v>0.11</v>
      </c>
      <c r="M59" s="1" t="n">
        <v>633905.233</v>
      </c>
      <c r="N59" s="1" t="n">
        <v>3049240.448</v>
      </c>
      <c r="O59" s="1" t="n">
        <v>56.39</v>
      </c>
      <c r="P59" s="95" t="s">
        <v>106</v>
      </c>
      <c r="Q59" s="72" t="n">
        <v>1.89</v>
      </c>
      <c r="R59" s="73" t="n">
        <v>1.89</v>
      </c>
      <c r="S59" s="90" t="n">
        <v>90</v>
      </c>
      <c r="T59" s="80"/>
      <c r="U59" s="74" t="n">
        <v>0.32</v>
      </c>
      <c r="V59" s="74" t="n">
        <v>0.31</v>
      </c>
      <c r="W59" s="74" t="n">
        <v>0.33</v>
      </c>
      <c r="X59" s="74" t="n">
        <v>0.19</v>
      </c>
      <c r="Y59" s="74" t="n">
        <v>0.14</v>
      </c>
      <c r="Z59" s="74" t="n">
        <v>0.28</v>
      </c>
      <c r="AA59" s="74"/>
      <c r="AB59" s="74"/>
      <c r="AC59" s="74"/>
      <c r="AD59" s="74"/>
      <c r="AE59" s="74"/>
      <c r="AF59" s="74"/>
      <c r="AG59" s="74"/>
      <c r="AH59" s="74"/>
      <c r="AI59" s="74"/>
      <c r="AJ59" s="74"/>
      <c r="AK59" s="74"/>
      <c r="AL59" s="74"/>
      <c r="AM59" s="76" t="n">
        <f aca="false">AVERAGE(U59:AC59)</f>
        <v>0.261666666666667</v>
      </c>
      <c r="AN59" s="92" t="n">
        <v>3.67</v>
      </c>
      <c r="AO59" s="77"/>
      <c r="AP59" s="75"/>
      <c r="AQ59" s="73" t="n">
        <f aca="false">AN59-(AN59-Q59)*(SIN((S59+AX59)*PI()/180))/(COS(AX59*PI()/180))</f>
        <v>1.89</v>
      </c>
      <c r="AR59" s="84" t="n">
        <f aca="false">H59+($M$1-M59)-(AN59-Q59)*(COS(S59*PI()/180))*(SIN((T59+13+2.3)*PI()/180))</f>
        <v>632846.337</v>
      </c>
      <c r="AS59" s="84" t="n">
        <f aca="false">I59+($N$1-N59)-(AN59-Q59)*(COS(S59*PI()/180))*(COS((T59+13+2.3)*PI()/180))</f>
        <v>3047016.61</v>
      </c>
      <c r="AT59" s="84" t="n">
        <f aca="false">J59+($O$1-O59)-R59+AN59-(AN59-Q59)*(SIN(S59*PI()/180))-L59</f>
        <v>144.856</v>
      </c>
      <c r="AU59" s="69"/>
      <c r="AV59" s="79"/>
      <c r="AW59" s="59"/>
      <c r="AX59" s="80"/>
    </row>
    <row r="60" customFormat="false" ht="12.75" hidden="false" customHeight="true" outlineLevel="0" collapsed="false">
      <c r="A60" s="69" t="s">
        <v>170</v>
      </c>
      <c r="B60" s="69" t="s">
        <v>122</v>
      </c>
      <c r="C60" s="69"/>
      <c r="D60" s="87" t="s">
        <v>103</v>
      </c>
      <c r="E60" s="61"/>
      <c r="F60" s="81"/>
      <c r="G60" s="88" t="s">
        <v>123</v>
      </c>
      <c r="H60" s="1" t="n">
        <v>632768.787</v>
      </c>
      <c r="I60" s="1" t="n">
        <v>3046932.869</v>
      </c>
      <c r="J60" s="1" t="n">
        <v>133.084</v>
      </c>
      <c r="K60" s="79" t="s">
        <v>105</v>
      </c>
      <c r="L60" s="84" t="n">
        <v>0</v>
      </c>
      <c r="M60" s="1" t="n">
        <v>633905.233</v>
      </c>
      <c r="N60" s="1" t="n">
        <v>3049240.448</v>
      </c>
      <c r="O60" s="1" t="n">
        <v>56.39</v>
      </c>
      <c r="P60" s="95" t="s">
        <v>171</v>
      </c>
      <c r="Q60" s="72" t="n">
        <v>2.68</v>
      </c>
      <c r="R60" s="73" t="n">
        <v>1.79</v>
      </c>
      <c r="S60" s="90" t="n">
        <v>90</v>
      </c>
      <c r="T60" s="80"/>
      <c r="U60" s="74" t="n">
        <v>0.09</v>
      </c>
      <c r="V60" s="74" t="n">
        <v>0.11</v>
      </c>
      <c r="W60" s="74" t="n">
        <v>0.18</v>
      </c>
      <c r="X60" s="74" t="n">
        <v>0.16</v>
      </c>
      <c r="Y60" s="74" t="n">
        <v>0.13</v>
      </c>
      <c r="Z60" s="74" t="n">
        <v>0.14</v>
      </c>
      <c r="AA60" s="74" t="n">
        <v>0.07</v>
      </c>
      <c r="AB60" s="74" t="n">
        <v>0.16</v>
      </c>
      <c r="AC60" s="74"/>
      <c r="AD60" s="74"/>
      <c r="AE60" s="74"/>
      <c r="AF60" s="74"/>
      <c r="AG60" s="74"/>
      <c r="AH60" s="74"/>
      <c r="AI60" s="74"/>
      <c r="AJ60" s="74"/>
      <c r="AK60" s="74"/>
      <c r="AL60" s="74"/>
      <c r="AM60" s="76" t="n">
        <f aca="false">AVERAGE(U60:AC60)</f>
        <v>0.13</v>
      </c>
      <c r="AN60" s="92" t="n">
        <v>3.67</v>
      </c>
      <c r="AO60" s="77"/>
      <c r="AP60" s="75"/>
      <c r="AQ60" s="73" t="n">
        <f aca="false">AN60-(AN60-Q60)*(SIN((S60+AX60)*PI()/180))/(COS(AX60*PI()/180))</f>
        <v>2.68</v>
      </c>
      <c r="AR60" s="84" t="n">
        <f aca="false">H60+($M$1-M60)-(AN60-Q60)*(COS(S60*PI()/180))*(SIN((T60+13+2.3)*PI()/180))</f>
        <v>632768.787</v>
      </c>
      <c r="AS60" s="84" t="n">
        <f aca="false">I60+($N$1-N60)-(AN60-Q60)*(COS(S60*PI()/180))*(COS((T60+13+2.3)*PI()/180))</f>
        <v>3046932.869</v>
      </c>
      <c r="AT60" s="84" t="n">
        <f aca="false">J60+($O$1-O60)-R60+AN60-(AN60-Q60)*(SIN(S60*PI()/180))-L60</f>
        <v>133.864</v>
      </c>
      <c r="AU60" s="69"/>
      <c r="AV60" s="79"/>
      <c r="AW60" s="59"/>
      <c r="AX60" s="80"/>
    </row>
    <row r="61" customFormat="false" ht="12.75" hidden="false" customHeight="true" outlineLevel="0" collapsed="false">
      <c r="A61" s="96" t="s">
        <v>172</v>
      </c>
      <c r="B61" s="96"/>
      <c r="C61" s="96"/>
      <c r="D61" s="96"/>
      <c r="E61" s="111"/>
      <c r="F61" s="112"/>
      <c r="G61" s="113"/>
      <c r="H61" s="104"/>
      <c r="I61" s="97"/>
      <c r="J61" s="97"/>
      <c r="K61" s="96"/>
      <c r="L61" s="99"/>
      <c r="M61" s="100"/>
      <c r="N61" s="101"/>
      <c r="O61" s="101"/>
      <c r="P61" s="102"/>
      <c r="Q61" s="103"/>
      <c r="R61" s="104"/>
      <c r="S61" s="105"/>
      <c r="T61" s="105"/>
      <c r="U61" s="97"/>
      <c r="V61" s="97"/>
      <c r="W61" s="97"/>
      <c r="X61" s="97"/>
      <c r="Y61" s="97"/>
      <c r="Z61" s="97"/>
      <c r="AA61" s="97"/>
      <c r="AB61" s="97"/>
      <c r="AC61" s="97"/>
      <c r="AD61" s="97"/>
      <c r="AE61" s="97"/>
      <c r="AF61" s="97"/>
      <c r="AG61" s="97"/>
      <c r="AH61" s="97"/>
      <c r="AI61" s="97"/>
      <c r="AJ61" s="97"/>
      <c r="AK61" s="97"/>
      <c r="AL61" s="97"/>
      <c r="AM61" s="106"/>
      <c r="AN61" s="107"/>
      <c r="AO61" s="108"/>
      <c r="AP61" s="109"/>
      <c r="AQ61" s="104"/>
      <c r="AR61" s="99"/>
      <c r="AS61" s="99"/>
      <c r="AT61" s="99"/>
      <c r="AU61" s="96"/>
      <c r="AV61" s="110"/>
      <c r="AW61" s="59"/>
      <c r="AX61" s="105"/>
    </row>
    <row r="62" customFormat="false" ht="12.75" hidden="false" customHeight="true" outlineLevel="0" collapsed="false">
      <c r="A62" s="96" t="s">
        <v>173</v>
      </c>
      <c r="B62" s="96"/>
      <c r="C62" s="96"/>
      <c r="D62" s="96"/>
      <c r="E62" s="111"/>
      <c r="F62" s="112"/>
      <c r="G62" s="113"/>
      <c r="H62" s="104"/>
      <c r="I62" s="97"/>
      <c r="J62" s="97"/>
      <c r="K62" s="96"/>
      <c r="L62" s="99"/>
      <c r="M62" s="100"/>
      <c r="N62" s="101"/>
      <c r="O62" s="101"/>
      <c r="P62" s="102"/>
      <c r="Q62" s="103"/>
      <c r="R62" s="104"/>
      <c r="S62" s="105"/>
      <c r="T62" s="105"/>
      <c r="U62" s="97"/>
      <c r="V62" s="97"/>
      <c r="W62" s="97"/>
      <c r="X62" s="97"/>
      <c r="Y62" s="97"/>
      <c r="Z62" s="97"/>
      <c r="AA62" s="97"/>
      <c r="AB62" s="97"/>
      <c r="AC62" s="97"/>
      <c r="AD62" s="97"/>
      <c r="AE62" s="97"/>
      <c r="AF62" s="97"/>
      <c r="AG62" s="97"/>
      <c r="AH62" s="97"/>
      <c r="AI62" s="97"/>
      <c r="AJ62" s="97"/>
      <c r="AK62" s="97"/>
      <c r="AL62" s="97"/>
      <c r="AM62" s="106"/>
      <c r="AN62" s="107"/>
      <c r="AO62" s="108"/>
      <c r="AP62" s="109"/>
      <c r="AQ62" s="104"/>
      <c r="AR62" s="99"/>
      <c r="AS62" s="99"/>
      <c r="AT62" s="99"/>
      <c r="AU62" s="96"/>
      <c r="AV62" s="110"/>
      <c r="AW62" s="59"/>
      <c r="AX62" s="105"/>
    </row>
    <row r="63" customFormat="false" ht="12.75" hidden="false" customHeight="true" outlineLevel="0" collapsed="false">
      <c r="A63" s="69" t="s">
        <v>174</v>
      </c>
      <c r="B63" s="69" t="s">
        <v>113</v>
      </c>
      <c r="C63" s="69"/>
      <c r="D63" s="87" t="s">
        <v>103</v>
      </c>
      <c r="E63" s="61"/>
      <c r="F63" s="81"/>
      <c r="G63" s="94" t="s">
        <v>114</v>
      </c>
      <c r="H63" s="1" t="n">
        <v>632327.144</v>
      </c>
      <c r="I63" s="1" t="n">
        <v>3045461.36</v>
      </c>
      <c r="J63" s="1" t="n">
        <v>89.132</v>
      </c>
      <c r="K63" s="79" t="s">
        <v>105</v>
      </c>
      <c r="L63" s="84" t="n">
        <v>0.11</v>
      </c>
      <c r="M63" s="1" t="n">
        <v>633905.233</v>
      </c>
      <c r="N63" s="1" t="n">
        <v>3049240.448</v>
      </c>
      <c r="O63" s="1" t="n">
        <v>56.39</v>
      </c>
      <c r="P63" s="95" t="s">
        <v>106</v>
      </c>
      <c r="Q63" s="72" t="n">
        <v>1.71</v>
      </c>
      <c r="R63" s="73" t="n">
        <v>1.71</v>
      </c>
      <c r="S63" s="90" t="n">
        <v>90</v>
      </c>
      <c r="T63" s="80"/>
      <c r="U63" s="74"/>
      <c r="V63" s="74"/>
      <c r="W63" s="74"/>
      <c r="X63" s="74"/>
      <c r="Y63" s="74"/>
      <c r="Z63" s="74"/>
      <c r="AA63" s="74"/>
      <c r="AB63" s="74"/>
      <c r="AC63" s="74"/>
      <c r="AD63" s="74"/>
      <c r="AE63" s="74"/>
      <c r="AF63" s="74"/>
      <c r="AG63" s="74"/>
      <c r="AH63" s="74"/>
      <c r="AI63" s="74"/>
      <c r="AJ63" s="74"/>
      <c r="AK63" s="74"/>
      <c r="AL63" s="74"/>
      <c r="AM63" s="91" t="e">
        <f aca="false">AVERAGE(U63:AC63)</f>
        <v>#DIV/0!</v>
      </c>
      <c r="AN63" s="92" t="n">
        <v>3.67</v>
      </c>
      <c r="AO63" s="77" t="s">
        <v>175</v>
      </c>
      <c r="AP63" s="75"/>
      <c r="AQ63" s="73" t="n">
        <f aca="false">AN63-(AN63-Q63)*(SIN((S63+AX63)*PI()/180))/(COS(AX63*PI()/180))</f>
        <v>1.71</v>
      </c>
      <c r="AR63" s="84" t="n">
        <f aca="false">H63+($M$1-M63)-(AN63-Q63)*(COS(S63*PI()/180))*(SIN((T63+13+2.3)*PI()/180))</f>
        <v>632327.144</v>
      </c>
      <c r="AS63" s="84" t="n">
        <f aca="false">I63+($N$1-N63)-(AN63-Q63)*(COS(S63*PI()/180))*(COS((T63+13+2.3)*PI()/180))</f>
        <v>3045461.36</v>
      </c>
      <c r="AT63" s="84" t="n">
        <f aca="false">J63+($O$1-O63)-R63+AN63-(AN63-Q63)*(SIN(S63*PI()/180))-L63</f>
        <v>88.912</v>
      </c>
      <c r="AU63" s="69"/>
      <c r="AV63" s="79"/>
      <c r="AW63" s="59"/>
      <c r="AX63" s="80"/>
    </row>
    <row r="64" customFormat="false" ht="12.75" hidden="false" customHeight="true" outlineLevel="0" collapsed="false">
      <c r="A64" s="96" t="s">
        <v>176</v>
      </c>
      <c r="B64" s="96"/>
      <c r="C64" s="96"/>
      <c r="D64" s="96"/>
      <c r="E64" s="111"/>
      <c r="F64" s="112"/>
      <c r="G64" s="104"/>
      <c r="H64" s="104"/>
      <c r="I64" s="97"/>
      <c r="J64" s="97"/>
      <c r="K64" s="96"/>
      <c r="L64" s="99"/>
      <c r="M64" s="100"/>
      <c r="N64" s="101"/>
      <c r="O64" s="101"/>
      <c r="P64" s="102"/>
      <c r="Q64" s="103"/>
      <c r="R64" s="104"/>
      <c r="S64" s="105"/>
      <c r="T64" s="105"/>
      <c r="U64" s="97"/>
      <c r="V64" s="97"/>
      <c r="W64" s="97"/>
      <c r="X64" s="97"/>
      <c r="Y64" s="97"/>
      <c r="Z64" s="97"/>
      <c r="AA64" s="97"/>
      <c r="AB64" s="97"/>
      <c r="AC64" s="97"/>
      <c r="AD64" s="97"/>
      <c r="AE64" s="97"/>
      <c r="AF64" s="97"/>
      <c r="AG64" s="97"/>
      <c r="AH64" s="97"/>
      <c r="AI64" s="97"/>
      <c r="AJ64" s="97"/>
      <c r="AK64" s="97"/>
      <c r="AL64" s="97"/>
      <c r="AM64" s="106"/>
      <c r="AN64" s="107"/>
      <c r="AO64" s="108"/>
      <c r="AP64" s="109"/>
      <c r="AQ64" s="104"/>
      <c r="AR64" s="99"/>
      <c r="AS64" s="99"/>
      <c r="AT64" s="99"/>
      <c r="AU64" s="96"/>
      <c r="AV64" s="110"/>
      <c r="AW64" s="59"/>
      <c r="AX64" s="105"/>
    </row>
    <row r="65" customFormat="false" ht="12.75" hidden="false" customHeight="true" outlineLevel="0" collapsed="false">
      <c r="A65" s="69" t="s">
        <v>177</v>
      </c>
      <c r="B65" s="69" t="s">
        <v>113</v>
      </c>
      <c r="C65" s="69"/>
      <c r="D65" s="87" t="s">
        <v>103</v>
      </c>
      <c r="E65" s="61"/>
      <c r="F65" s="81"/>
      <c r="G65" s="94" t="s">
        <v>114</v>
      </c>
      <c r="H65" s="1" t="n">
        <v>632680.356</v>
      </c>
      <c r="I65" s="1" t="n">
        <v>3045844.999</v>
      </c>
      <c r="J65" s="1" t="n">
        <v>173.342</v>
      </c>
      <c r="K65" s="79" t="s">
        <v>105</v>
      </c>
      <c r="L65" s="84" t="n">
        <v>0.11</v>
      </c>
      <c r="M65" s="1" t="n">
        <v>633905.233</v>
      </c>
      <c r="N65" s="1" t="n">
        <v>3049240.448</v>
      </c>
      <c r="O65" s="1" t="n">
        <v>56.39</v>
      </c>
      <c r="P65" s="95" t="s">
        <v>106</v>
      </c>
      <c r="Q65" s="72" t="n">
        <v>1.85</v>
      </c>
      <c r="R65" s="73" t="n">
        <v>1.85</v>
      </c>
      <c r="S65" s="90" t="n">
        <v>90</v>
      </c>
      <c r="T65" s="80"/>
      <c r="U65" s="74" t="n">
        <v>0.26</v>
      </c>
      <c r="V65" s="74" t="n">
        <v>0.19</v>
      </c>
      <c r="W65" s="74" t="n">
        <v>0.25</v>
      </c>
      <c r="X65" s="74" t="n">
        <v>0.22</v>
      </c>
      <c r="Y65" s="74" t="n">
        <v>0.2</v>
      </c>
      <c r="Z65" s="74" t="n">
        <v>0.27</v>
      </c>
      <c r="AA65" s="74" t="n">
        <v>0.3</v>
      </c>
      <c r="AB65" s="74" t="n">
        <v>0.18</v>
      </c>
      <c r="AC65" s="74" t="n">
        <v>0.25</v>
      </c>
      <c r="AD65" s="74" t="n">
        <v>0.2</v>
      </c>
      <c r="AE65" s="74" t="n">
        <v>0.26</v>
      </c>
      <c r="AF65" s="74"/>
      <c r="AG65" s="74"/>
      <c r="AH65" s="74"/>
      <c r="AI65" s="74"/>
      <c r="AJ65" s="74"/>
      <c r="AK65" s="74"/>
      <c r="AL65" s="74"/>
      <c r="AM65" s="91" t="n">
        <f aca="false">AVERAGE(U65:AC65)</f>
        <v>0.235555555555556</v>
      </c>
      <c r="AN65" s="92" t="n">
        <v>3.67</v>
      </c>
      <c r="AO65" s="77"/>
      <c r="AP65" s="75"/>
      <c r="AQ65" s="73" t="n">
        <f aca="false">AN65-(AN65-Q65)*(SIN((S65+AX65)*PI()/180))/(COS(AX65*PI()/180))</f>
        <v>1.85</v>
      </c>
      <c r="AR65" s="84" t="n">
        <f aca="false">H65+($M$1-M65)-(AN65-Q65)*(COS(S65*PI()/180))*(SIN((T65+13+2.3)*PI()/180))</f>
        <v>632680.356</v>
      </c>
      <c r="AS65" s="84" t="n">
        <f aca="false">I65+($N$1-N65)-(AN65-Q65)*(COS(S65*PI()/180))*(COS((T65+13+2.3)*PI()/180))</f>
        <v>3045844.999</v>
      </c>
      <c r="AT65" s="84" t="n">
        <f aca="false">J65+($O$1-O65)-R65+AN65-(AN65-Q65)*(SIN(S65*PI()/180))-L65</f>
        <v>173.122</v>
      </c>
      <c r="AU65" s="69"/>
      <c r="AV65" s="79"/>
      <c r="AW65" s="59"/>
      <c r="AX65" s="80"/>
    </row>
    <row r="66" customFormat="false" ht="12.75" hidden="false" customHeight="true" outlineLevel="0" collapsed="false">
      <c r="A66" s="96" t="s">
        <v>178</v>
      </c>
      <c r="B66" s="96"/>
      <c r="C66" s="96"/>
      <c r="D66" s="96"/>
      <c r="E66" s="111"/>
      <c r="F66" s="112"/>
      <c r="G66" s="116"/>
      <c r="H66" s="104"/>
      <c r="I66" s="97"/>
      <c r="J66" s="97"/>
      <c r="K66" s="96"/>
      <c r="L66" s="99"/>
      <c r="M66" s="100"/>
      <c r="N66" s="101"/>
      <c r="O66" s="101"/>
      <c r="P66" s="102"/>
      <c r="Q66" s="103"/>
      <c r="R66" s="104"/>
      <c r="S66" s="105"/>
      <c r="T66" s="117"/>
      <c r="U66" s="118"/>
      <c r="V66" s="118"/>
      <c r="W66" s="118"/>
      <c r="X66" s="118"/>
      <c r="Y66" s="118"/>
      <c r="Z66" s="118"/>
      <c r="AA66" s="118"/>
      <c r="AB66" s="118"/>
      <c r="AC66" s="118"/>
      <c r="AD66" s="118"/>
      <c r="AE66" s="118"/>
      <c r="AF66" s="118"/>
      <c r="AG66" s="118"/>
      <c r="AH66" s="118"/>
      <c r="AI66" s="118"/>
      <c r="AJ66" s="118"/>
      <c r="AK66" s="118"/>
      <c r="AL66" s="118"/>
      <c r="AM66" s="119"/>
      <c r="AN66" s="120"/>
      <c r="AO66" s="108"/>
      <c r="AP66" s="121"/>
      <c r="AQ66" s="122"/>
      <c r="AR66" s="123"/>
      <c r="AS66" s="123"/>
      <c r="AT66" s="123"/>
      <c r="AU66" s="124"/>
      <c r="AV66" s="125"/>
      <c r="AW66" s="59"/>
      <c r="AX66" s="117"/>
    </row>
    <row r="67" customFormat="false" ht="12.75" hidden="false" customHeight="true" outlineLevel="0" collapsed="false">
      <c r="A67" s="96" t="s">
        <v>179</v>
      </c>
      <c r="B67" s="96"/>
      <c r="C67" s="96"/>
      <c r="D67" s="96"/>
      <c r="E67" s="111"/>
      <c r="F67" s="112"/>
      <c r="G67" s="116"/>
      <c r="H67" s="104"/>
      <c r="I67" s="97"/>
      <c r="J67" s="97"/>
      <c r="K67" s="96"/>
      <c r="L67" s="99"/>
      <c r="M67" s="100"/>
      <c r="N67" s="101"/>
      <c r="O67" s="101"/>
      <c r="P67" s="102"/>
      <c r="Q67" s="103"/>
      <c r="R67" s="104"/>
      <c r="S67" s="105"/>
      <c r="T67" s="117"/>
      <c r="U67" s="118"/>
      <c r="V67" s="118"/>
      <c r="W67" s="118"/>
      <c r="X67" s="118"/>
      <c r="Y67" s="118"/>
      <c r="Z67" s="118"/>
      <c r="AA67" s="118"/>
      <c r="AB67" s="118"/>
      <c r="AC67" s="118"/>
      <c r="AD67" s="118"/>
      <c r="AE67" s="118"/>
      <c r="AF67" s="118"/>
      <c r="AG67" s="118"/>
      <c r="AH67" s="118"/>
      <c r="AI67" s="118"/>
      <c r="AJ67" s="118"/>
      <c r="AK67" s="118"/>
      <c r="AL67" s="118"/>
      <c r="AM67" s="119"/>
      <c r="AN67" s="120"/>
      <c r="AO67" s="108"/>
      <c r="AP67" s="121"/>
      <c r="AQ67" s="122"/>
      <c r="AR67" s="123"/>
      <c r="AS67" s="123"/>
      <c r="AT67" s="123"/>
      <c r="AU67" s="124"/>
      <c r="AV67" s="125"/>
      <c r="AW67" s="59"/>
      <c r="AX67" s="117"/>
    </row>
    <row r="68" customFormat="false" ht="12.75" hidden="false" customHeight="true" outlineLevel="0" collapsed="false">
      <c r="A68" s="69" t="s">
        <v>180</v>
      </c>
      <c r="B68" s="69" t="s">
        <v>101</v>
      </c>
      <c r="C68" s="69"/>
      <c r="D68" s="87" t="s">
        <v>103</v>
      </c>
      <c r="E68" s="61"/>
      <c r="F68" s="81"/>
      <c r="G68" s="88" t="s">
        <v>104</v>
      </c>
      <c r="H68" s="1" t="n">
        <v>634244.121</v>
      </c>
      <c r="I68" s="1" t="n">
        <v>3046387.683</v>
      </c>
      <c r="J68" s="1" t="n">
        <v>292.228</v>
      </c>
      <c r="K68" s="79" t="s">
        <v>105</v>
      </c>
      <c r="L68" s="84" t="n">
        <v>0.11</v>
      </c>
      <c r="M68" s="1" t="n">
        <v>633905.233</v>
      </c>
      <c r="N68" s="1" t="n">
        <v>3049240.448</v>
      </c>
      <c r="O68" s="1" t="n">
        <v>56.39</v>
      </c>
      <c r="P68" s="89" t="s">
        <v>106</v>
      </c>
      <c r="Q68" s="72" t="n">
        <v>1.21</v>
      </c>
      <c r="R68" s="73" t="n">
        <v>1.21</v>
      </c>
      <c r="S68" s="90" t="n">
        <v>90</v>
      </c>
      <c r="T68" s="80"/>
      <c r="U68" s="74" t="n">
        <v>0.86</v>
      </c>
      <c r="V68" s="74" t="n">
        <v>0.94</v>
      </c>
      <c r="W68" s="74" t="n">
        <v>0.96</v>
      </c>
      <c r="X68" s="74" t="n">
        <v>0.77</v>
      </c>
      <c r="Y68" s="74" t="n">
        <v>0.98</v>
      </c>
      <c r="Z68" s="74" t="n">
        <v>0.74</v>
      </c>
      <c r="AA68" s="74" t="n">
        <v>0.93</v>
      </c>
      <c r="AB68" s="74" t="n">
        <v>0.73</v>
      </c>
      <c r="AC68" s="74" t="n">
        <v>1.08</v>
      </c>
      <c r="AD68" s="74" t="n">
        <v>1.02</v>
      </c>
      <c r="AE68" s="74" t="n">
        <v>0.8</v>
      </c>
      <c r="AF68" s="74" t="n">
        <v>0.75</v>
      </c>
      <c r="AG68" s="74" t="n">
        <v>0.9</v>
      </c>
      <c r="AH68" s="74"/>
      <c r="AI68" s="74"/>
      <c r="AJ68" s="74"/>
      <c r="AK68" s="74"/>
      <c r="AL68" s="74"/>
      <c r="AM68" s="91" t="n">
        <f aca="false">AVERAGE(U68:AC68)</f>
        <v>0.887777777777778</v>
      </c>
      <c r="AN68" s="92" t="n">
        <v>3.67</v>
      </c>
      <c r="AO68" s="77" t="s">
        <v>181</v>
      </c>
      <c r="AP68" s="75"/>
      <c r="AQ68" s="73" t="n">
        <f aca="false">AN68-(AN68-Q68)*(SIN((S68+AX68)*PI()/180))/(COS(AX68*PI()/180))</f>
        <v>1.21</v>
      </c>
      <c r="AR68" s="84" t="n">
        <f aca="false">H68+($M$1-M68)-(AN68-Q68)*(COS(S68*PI()/180))*(SIN((T68+13+2.3)*PI()/180))</f>
        <v>634244.121</v>
      </c>
      <c r="AS68" s="84" t="n">
        <f aca="false">I68+($N$1-N68)-(AN68-Q68)*(COS(S68*PI()/180))*(COS((T68+13+2.3)*PI()/180))</f>
        <v>3046387.683</v>
      </c>
      <c r="AT68" s="84" t="n">
        <f aca="false">J68+($O$1-O68)-R68+AN68-(AN68-Q68)*(SIN(S68*PI()/180))-L68</f>
        <v>292.008</v>
      </c>
      <c r="AU68" s="69"/>
      <c r="AV68" s="79"/>
      <c r="AW68" s="59"/>
      <c r="AX68" s="80"/>
    </row>
    <row r="69" customFormat="false" ht="12.75" hidden="false" customHeight="true" outlineLevel="0" collapsed="false">
      <c r="A69" s="96" t="s">
        <v>182</v>
      </c>
      <c r="B69" s="96"/>
      <c r="C69" s="96"/>
      <c r="D69" s="96"/>
      <c r="E69" s="111"/>
      <c r="F69" s="112"/>
      <c r="G69" s="116"/>
      <c r="H69" s="104"/>
      <c r="I69" s="97"/>
      <c r="J69" s="97"/>
      <c r="K69" s="96"/>
      <c r="L69" s="99"/>
      <c r="M69" s="100"/>
      <c r="N69" s="101"/>
      <c r="O69" s="101"/>
      <c r="P69" s="102"/>
      <c r="Q69" s="103"/>
      <c r="R69" s="104"/>
      <c r="S69" s="105"/>
      <c r="T69" s="117"/>
      <c r="U69" s="118"/>
      <c r="V69" s="118"/>
      <c r="W69" s="118"/>
      <c r="X69" s="118"/>
      <c r="Y69" s="118"/>
      <c r="Z69" s="118"/>
      <c r="AA69" s="118"/>
      <c r="AB69" s="118"/>
      <c r="AC69" s="118"/>
      <c r="AD69" s="118"/>
      <c r="AE69" s="118"/>
      <c r="AF69" s="118"/>
      <c r="AG69" s="118"/>
      <c r="AH69" s="118"/>
      <c r="AI69" s="118"/>
      <c r="AJ69" s="118"/>
      <c r="AK69" s="118"/>
      <c r="AL69" s="118"/>
      <c r="AM69" s="119"/>
      <c r="AN69" s="120"/>
      <c r="AO69" s="108"/>
      <c r="AP69" s="121"/>
      <c r="AQ69" s="122"/>
      <c r="AR69" s="123"/>
      <c r="AS69" s="123"/>
      <c r="AT69" s="123"/>
      <c r="AU69" s="124"/>
      <c r="AV69" s="125"/>
      <c r="AW69" s="59"/>
      <c r="AX69" s="117"/>
    </row>
    <row r="70" customFormat="false" ht="12.75" hidden="false" customHeight="true" outlineLevel="0" collapsed="false">
      <c r="A70" s="69" t="s">
        <v>183</v>
      </c>
      <c r="B70" s="69" t="s">
        <v>122</v>
      </c>
      <c r="C70" s="69"/>
      <c r="D70" s="87" t="s">
        <v>103</v>
      </c>
      <c r="E70" s="61"/>
      <c r="F70" s="81"/>
      <c r="G70" s="88" t="s">
        <v>123</v>
      </c>
      <c r="H70" s="1" t="n">
        <v>633583.453</v>
      </c>
      <c r="I70" s="1" t="n">
        <v>3047345.45</v>
      </c>
      <c r="J70" s="1" t="n">
        <v>291.149</v>
      </c>
      <c r="K70" s="79" t="s">
        <v>105</v>
      </c>
      <c r="L70" s="84" t="n">
        <v>0.11</v>
      </c>
      <c r="M70" s="1" t="n">
        <v>633905.233</v>
      </c>
      <c r="N70" s="1" t="n">
        <v>3049240.448</v>
      </c>
      <c r="O70" s="1" t="n">
        <v>56.39</v>
      </c>
      <c r="P70" s="95" t="s">
        <v>106</v>
      </c>
      <c r="Q70" s="72" t="n">
        <v>1.66</v>
      </c>
      <c r="R70" s="73" t="n">
        <v>1.66</v>
      </c>
      <c r="S70" s="90" t="n">
        <v>90</v>
      </c>
      <c r="T70" s="80"/>
      <c r="U70" s="74" t="n">
        <v>0.31</v>
      </c>
      <c r="V70" s="74" t="n">
        <v>0.24</v>
      </c>
      <c r="W70" s="74" t="n">
        <v>0.25</v>
      </c>
      <c r="X70" s="74" t="n">
        <v>0.21</v>
      </c>
      <c r="Y70" s="74" t="n">
        <v>0.23</v>
      </c>
      <c r="Z70" s="74" t="n">
        <v>0.23</v>
      </c>
      <c r="AA70" s="74"/>
      <c r="AB70" s="74"/>
      <c r="AC70" s="74"/>
      <c r="AD70" s="74"/>
      <c r="AE70" s="74"/>
      <c r="AF70" s="74"/>
      <c r="AG70" s="74"/>
      <c r="AH70" s="74"/>
      <c r="AI70" s="74"/>
      <c r="AJ70" s="74"/>
      <c r="AK70" s="74"/>
      <c r="AL70" s="74"/>
      <c r="AM70" s="91" t="n">
        <f aca="false">AVERAGE(U70:AC70)</f>
        <v>0.245</v>
      </c>
      <c r="AN70" s="92" t="n">
        <v>3.67</v>
      </c>
      <c r="AO70" s="77"/>
      <c r="AP70" s="75"/>
      <c r="AQ70" s="73" t="n">
        <f aca="false">AN70-(AN70-Q70)*(SIN((S70+AX70)*PI()/180))/(COS(AX70*PI()/180))</f>
        <v>1.66</v>
      </c>
      <c r="AR70" s="84" t="n">
        <f aca="false">H70+($M$1-M70)-(AN70-Q70)*(COS(S70*PI()/180))*(SIN((T70+13+2.3)*PI()/180))</f>
        <v>633583.453</v>
      </c>
      <c r="AS70" s="84" t="n">
        <f aca="false">I70+($N$1-N70)-(AN70-Q70)*(COS(S70*PI()/180))*(COS((T70+13+2.3)*PI()/180))</f>
        <v>3047345.45</v>
      </c>
      <c r="AT70" s="84" t="n">
        <f aca="false">J70+($O$1-O70)-R70+AN70-(AN70-Q70)*(SIN(S70*PI()/180))-L70</f>
        <v>290.929</v>
      </c>
      <c r="AU70" s="69"/>
      <c r="AV70" s="79"/>
      <c r="AW70" s="59"/>
      <c r="AX70" s="80"/>
    </row>
    <row r="71" customFormat="false" ht="12.75" hidden="false" customHeight="true" outlineLevel="0" collapsed="false">
      <c r="A71" s="96" t="s">
        <v>184</v>
      </c>
      <c r="B71" s="96"/>
      <c r="C71" s="96"/>
      <c r="D71" s="96"/>
      <c r="E71" s="111"/>
      <c r="F71" s="112"/>
      <c r="G71" s="116"/>
      <c r="H71" s="104"/>
      <c r="I71" s="97"/>
      <c r="J71" s="97"/>
      <c r="K71" s="96"/>
      <c r="L71" s="99"/>
      <c r="M71" s="100"/>
      <c r="N71" s="101"/>
      <c r="O71" s="101"/>
      <c r="P71" s="102"/>
      <c r="Q71" s="103"/>
      <c r="R71" s="104"/>
      <c r="S71" s="105"/>
      <c r="T71" s="117"/>
      <c r="U71" s="118"/>
      <c r="V71" s="118"/>
      <c r="W71" s="118"/>
      <c r="X71" s="118"/>
      <c r="Y71" s="118"/>
      <c r="Z71" s="118"/>
      <c r="AA71" s="118"/>
      <c r="AB71" s="118"/>
      <c r="AC71" s="118"/>
      <c r="AD71" s="118"/>
      <c r="AE71" s="118"/>
      <c r="AF71" s="118"/>
      <c r="AG71" s="118"/>
      <c r="AH71" s="118"/>
      <c r="AI71" s="118"/>
      <c r="AJ71" s="118"/>
      <c r="AK71" s="118"/>
      <c r="AL71" s="118"/>
      <c r="AM71" s="119"/>
      <c r="AN71" s="120"/>
      <c r="AO71" s="108"/>
      <c r="AP71" s="121"/>
      <c r="AQ71" s="122"/>
      <c r="AR71" s="123"/>
      <c r="AS71" s="123"/>
      <c r="AT71" s="123"/>
      <c r="AU71" s="124"/>
      <c r="AV71" s="125"/>
      <c r="AW71" s="59"/>
      <c r="AX71" s="117"/>
    </row>
    <row r="72" customFormat="false" ht="12.75" hidden="false" customHeight="true" outlineLevel="0" collapsed="false">
      <c r="A72" s="69" t="s">
        <v>185</v>
      </c>
      <c r="B72" s="69" t="s">
        <v>122</v>
      </c>
      <c r="C72" s="69"/>
      <c r="D72" s="87" t="s">
        <v>103</v>
      </c>
      <c r="E72" s="61"/>
      <c r="F72" s="81"/>
      <c r="G72" s="88" t="s">
        <v>123</v>
      </c>
      <c r="H72" s="1" t="n">
        <v>633869.684</v>
      </c>
      <c r="I72" s="1" t="n">
        <v>3048317.8</v>
      </c>
      <c r="J72" s="1" t="n">
        <v>210.272</v>
      </c>
      <c r="K72" s="79" t="s">
        <v>105</v>
      </c>
      <c r="L72" s="84" t="n">
        <v>0.11</v>
      </c>
      <c r="M72" s="1" t="n">
        <v>633905.233</v>
      </c>
      <c r="N72" s="1" t="n">
        <v>3049240.448</v>
      </c>
      <c r="O72" s="1" t="n">
        <v>56.39</v>
      </c>
      <c r="P72" s="95" t="s">
        <v>106</v>
      </c>
      <c r="Q72" s="72" t="n">
        <v>1.96</v>
      </c>
      <c r="R72" s="73" t="n">
        <v>1.96</v>
      </c>
      <c r="S72" s="90" t="n">
        <v>90</v>
      </c>
      <c r="T72" s="80"/>
      <c r="U72" s="74" t="n">
        <v>0.1</v>
      </c>
      <c r="V72" s="74" t="n">
        <v>0.1</v>
      </c>
      <c r="W72" s="74" t="n">
        <v>0.14</v>
      </c>
      <c r="X72" s="74" t="n">
        <v>0.1</v>
      </c>
      <c r="Y72" s="74" t="n">
        <v>0.17</v>
      </c>
      <c r="Z72" s="74" t="n">
        <v>0.18</v>
      </c>
      <c r="AA72" s="74"/>
      <c r="AB72" s="74"/>
      <c r="AC72" s="74"/>
      <c r="AD72" s="74"/>
      <c r="AE72" s="74"/>
      <c r="AF72" s="74"/>
      <c r="AG72" s="74"/>
      <c r="AH72" s="74"/>
      <c r="AI72" s="74"/>
      <c r="AJ72" s="74"/>
      <c r="AK72" s="74"/>
      <c r="AL72" s="74"/>
      <c r="AM72" s="91" t="n">
        <f aca="false">AVERAGE(U72:AC72)</f>
        <v>0.131666666666667</v>
      </c>
      <c r="AN72" s="92" t="n">
        <v>3.67</v>
      </c>
      <c r="AO72" s="77"/>
      <c r="AP72" s="75"/>
      <c r="AQ72" s="73" t="n">
        <f aca="false">AN72-(AN72-Q72)*(SIN((S72+AX72)*PI()/180))/(COS(AX72*PI()/180))</f>
        <v>1.96</v>
      </c>
      <c r="AR72" s="84" t="n">
        <f aca="false">H72+($M$1-M72)-(AN72-Q72)*(COS(S72*PI()/180))*(SIN((T72+13+2.3)*PI()/180))</f>
        <v>633869.684</v>
      </c>
      <c r="AS72" s="84" t="n">
        <f aca="false">I72+($N$1-N72)-(AN72-Q72)*(COS(S72*PI()/180))*(COS((T72+13+2.3)*PI()/180))</f>
        <v>3048317.8</v>
      </c>
      <c r="AT72" s="84" t="n">
        <f aca="false">J72+($O$1-O72)-R72+AN72-(AN72-Q72)*(SIN(S72*PI()/180))-L72</f>
        <v>210.052</v>
      </c>
      <c r="AU72" s="69"/>
      <c r="AV72" s="79"/>
      <c r="AW72" s="59"/>
      <c r="AX72" s="80"/>
    </row>
    <row r="73" customFormat="false" ht="13.5" hidden="false" customHeight="true" outlineLevel="0" collapsed="false">
      <c r="A73" s="96" t="s">
        <v>186</v>
      </c>
      <c r="B73" s="96"/>
      <c r="C73" s="96"/>
      <c r="D73" s="96"/>
      <c r="E73" s="111"/>
      <c r="F73" s="112"/>
      <c r="G73" s="113"/>
      <c r="H73" s="104"/>
      <c r="I73" s="97"/>
      <c r="J73" s="97"/>
      <c r="K73" s="96"/>
      <c r="L73" s="99"/>
      <c r="M73" s="100"/>
      <c r="N73" s="101"/>
      <c r="O73" s="101"/>
      <c r="P73" s="102"/>
      <c r="Q73" s="103"/>
      <c r="R73" s="104"/>
      <c r="S73" s="105"/>
      <c r="T73" s="105"/>
      <c r="U73" s="97"/>
      <c r="V73" s="97"/>
      <c r="W73" s="97"/>
      <c r="X73" s="97"/>
      <c r="Y73" s="97"/>
      <c r="Z73" s="97"/>
      <c r="AA73" s="97"/>
      <c r="AB73" s="97"/>
      <c r="AC73" s="97"/>
      <c r="AD73" s="97"/>
      <c r="AE73" s="97"/>
      <c r="AF73" s="97"/>
      <c r="AG73" s="97"/>
      <c r="AH73" s="97"/>
      <c r="AI73" s="97"/>
      <c r="AJ73" s="97"/>
      <c r="AK73" s="97"/>
      <c r="AL73" s="97"/>
      <c r="AM73" s="106"/>
      <c r="AN73" s="107"/>
      <c r="AO73" s="108"/>
      <c r="AP73" s="109"/>
      <c r="AQ73" s="104"/>
      <c r="AR73" s="99"/>
      <c r="AS73" s="99"/>
      <c r="AT73" s="99"/>
      <c r="AU73" s="96"/>
      <c r="AV73" s="110"/>
      <c r="AW73" s="59"/>
      <c r="AX73" s="105"/>
    </row>
    <row r="74" customFormat="false" ht="12.75" hidden="false" customHeight="true" outlineLevel="0" collapsed="false">
      <c r="A74" s="69" t="s">
        <v>187</v>
      </c>
      <c r="B74" s="69" t="s">
        <v>122</v>
      </c>
      <c r="C74" s="69"/>
      <c r="D74" s="87" t="s">
        <v>103</v>
      </c>
      <c r="E74" s="61"/>
      <c r="F74" s="81"/>
      <c r="G74" s="88" t="s">
        <v>123</v>
      </c>
      <c r="H74" s="1" t="n">
        <v>633454.859</v>
      </c>
      <c r="I74" s="1" t="n">
        <v>3048065.675</v>
      </c>
      <c r="J74" s="1" t="n">
        <v>171.349</v>
      </c>
      <c r="K74" s="79" t="s">
        <v>105</v>
      </c>
      <c r="L74" s="84" t="n">
        <v>0.11</v>
      </c>
      <c r="M74" s="1" t="n">
        <v>633905.233</v>
      </c>
      <c r="N74" s="1" t="n">
        <v>3049240.448</v>
      </c>
      <c r="O74" s="1" t="n">
        <v>56.39</v>
      </c>
      <c r="P74" s="95" t="s">
        <v>106</v>
      </c>
      <c r="Q74" s="72" t="n">
        <v>1.9</v>
      </c>
      <c r="R74" s="73" t="n">
        <v>1.9</v>
      </c>
      <c r="S74" s="90" t="n">
        <v>90</v>
      </c>
      <c r="T74" s="80"/>
      <c r="U74" s="74" t="n">
        <v>0.15</v>
      </c>
      <c r="V74" s="74" t="n">
        <v>0.11</v>
      </c>
      <c r="W74" s="74" t="n">
        <v>0.14</v>
      </c>
      <c r="X74" s="74" t="n">
        <v>0.14</v>
      </c>
      <c r="Y74" s="74"/>
      <c r="Z74" s="74"/>
      <c r="AA74" s="74"/>
      <c r="AB74" s="74"/>
      <c r="AC74" s="74"/>
      <c r="AD74" s="74"/>
      <c r="AE74" s="74"/>
      <c r="AF74" s="74"/>
      <c r="AG74" s="74"/>
      <c r="AH74" s="74"/>
      <c r="AI74" s="74"/>
      <c r="AJ74" s="74"/>
      <c r="AK74" s="74"/>
      <c r="AL74" s="74"/>
      <c r="AM74" s="76" t="n">
        <f aca="false">AVERAGE(U74:AC74)</f>
        <v>0.135</v>
      </c>
      <c r="AN74" s="92" t="n">
        <v>3.67</v>
      </c>
      <c r="AO74" s="77"/>
      <c r="AP74" s="75"/>
      <c r="AQ74" s="73" t="n">
        <f aca="false">AN74-(AN74-Q74)*(SIN((S74+AX74)*PI()/180))/(COS(AX74*PI()/180))</f>
        <v>1.9</v>
      </c>
      <c r="AR74" s="84" t="n">
        <f aca="false">H74+($M$1-M74)-(AN74-Q74)*(COS(S74*PI()/180))*(SIN((T74+13+2.3)*PI()/180))</f>
        <v>633454.859</v>
      </c>
      <c r="AS74" s="84" t="n">
        <f aca="false">I74+($N$1-N74)-(AN74-Q74)*(COS(S74*PI()/180))*(COS((T74+13+2.3)*PI()/180))</f>
        <v>3048065.675</v>
      </c>
      <c r="AT74" s="84" t="n">
        <f aca="false">J74+($O$1-O74)-R74+AN74-(AN74-Q74)*(SIN(S74*PI()/180))-L74</f>
        <v>171.129</v>
      </c>
      <c r="AU74" s="69"/>
      <c r="AV74" s="79"/>
      <c r="AW74" s="59"/>
      <c r="AX74" s="80"/>
    </row>
    <row r="75" customFormat="false" ht="12.75" hidden="false" customHeight="true" outlineLevel="0" collapsed="false">
      <c r="A75" s="69" t="s">
        <v>188</v>
      </c>
      <c r="B75" s="69" t="s">
        <v>113</v>
      </c>
      <c r="C75" s="69"/>
      <c r="D75" s="87" t="s">
        <v>103</v>
      </c>
      <c r="E75" s="61"/>
      <c r="F75" s="81"/>
      <c r="G75" s="94" t="s">
        <v>114</v>
      </c>
      <c r="H75" s="1" t="n">
        <v>633222.928</v>
      </c>
      <c r="I75" s="1" t="n">
        <v>3045738.748</v>
      </c>
      <c r="J75" s="1" t="n">
        <v>227.341</v>
      </c>
      <c r="K75" s="79" t="s">
        <v>105</v>
      </c>
      <c r="L75" s="84" t="n">
        <v>0.11</v>
      </c>
      <c r="M75" s="1" t="n">
        <v>633905.233</v>
      </c>
      <c r="N75" s="1" t="n">
        <v>3049240.448</v>
      </c>
      <c r="O75" s="1" t="n">
        <v>56.39</v>
      </c>
      <c r="P75" s="95" t="s">
        <v>106</v>
      </c>
      <c r="Q75" s="1" t="n">
        <v>1.24</v>
      </c>
      <c r="R75" s="1" t="n">
        <v>1.24</v>
      </c>
      <c r="S75" s="90" t="n">
        <v>90</v>
      </c>
      <c r="U75" s="1" t="n">
        <v>0.22</v>
      </c>
      <c r="V75" s="1" t="n">
        <v>0.4</v>
      </c>
      <c r="W75" s="1" t="n">
        <v>0.2</v>
      </c>
      <c r="X75" s="1" t="n">
        <v>0.39</v>
      </c>
      <c r="Y75" s="1" t="n">
        <v>0.21</v>
      </c>
      <c r="Z75" s="1" t="n">
        <v>0.36</v>
      </c>
      <c r="AA75" s="74" t="n">
        <v>0.22</v>
      </c>
      <c r="AB75" s="74" t="n">
        <v>0.24</v>
      </c>
      <c r="AC75" s="74" t="n">
        <v>0.26</v>
      </c>
      <c r="AD75" s="74"/>
      <c r="AE75" s="74"/>
      <c r="AF75" s="74"/>
      <c r="AG75" s="74"/>
      <c r="AH75" s="74"/>
      <c r="AI75" s="74"/>
      <c r="AJ75" s="74"/>
      <c r="AK75" s="74"/>
      <c r="AL75" s="74"/>
      <c r="AM75" s="76" t="n">
        <f aca="false">AVERAGE(U75:AC75)</f>
        <v>0.277777777777778</v>
      </c>
      <c r="AN75" s="92" t="n">
        <v>3.67</v>
      </c>
      <c r="AO75" s="77"/>
      <c r="AP75" s="75"/>
      <c r="AQ75" s="73" t="n">
        <f aca="false">AN75-(AN75-Q79)*(SIN((S79+AX75)*PI()/180))/(COS(AX75*PI()/180))</f>
        <v>1.45</v>
      </c>
      <c r="AR75" s="84" t="n">
        <f aca="false">H75+($M$1-M75)-(AN75-Q79)*(COS(S79*PI()/180))*(SIN((T79+13+2.3)*PI()/180))</f>
        <v>633222.928</v>
      </c>
      <c r="AS75" s="84" t="n">
        <f aca="false">I75+($N$1-N75)-(AN75-Q79)*(COS(S79*PI()/180))*(COS((T79+13+2.3)*PI()/180))</f>
        <v>3045738.748</v>
      </c>
      <c r="AT75" s="84" t="n">
        <f aca="false">J75+($O$1-O75)-R79+AN75-(AN75-Q79)*(SIN(S79*PI()/180))-L75</f>
        <v>227.121</v>
      </c>
      <c r="AU75" s="69"/>
      <c r="AV75" s="79"/>
      <c r="AW75" s="59"/>
      <c r="AX75" s="80"/>
    </row>
    <row r="76" customFormat="false" ht="12.75" hidden="false" customHeight="true" outlineLevel="0" collapsed="false">
      <c r="A76" s="60" t="s">
        <v>189</v>
      </c>
      <c r="B76" s="69" t="s">
        <v>122</v>
      </c>
      <c r="C76" s="69"/>
      <c r="D76" s="87" t="s">
        <v>103</v>
      </c>
      <c r="E76" s="61"/>
      <c r="F76" s="81"/>
      <c r="G76" s="88" t="s">
        <v>123</v>
      </c>
      <c r="H76" s="1" t="n">
        <v>632554.032</v>
      </c>
      <c r="I76" s="1" t="n">
        <v>3047018.176</v>
      </c>
      <c r="J76" s="1" t="n">
        <v>58.594</v>
      </c>
      <c r="K76" s="79" t="s">
        <v>105</v>
      </c>
      <c r="L76" s="84" t="n">
        <v>0</v>
      </c>
      <c r="M76" s="1" t="n">
        <v>633905.233</v>
      </c>
      <c r="N76" s="1" t="n">
        <v>3049240.448</v>
      </c>
      <c r="O76" s="1" t="n">
        <v>56.39</v>
      </c>
      <c r="P76" s="95" t="s">
        <v>171</v>
      </c>
      <c r="Q76" s="72" t="n">
        <v>2.41</v>
      </c>
      <c r="R76" s="73" t="n">
        <v>1.8</v>
      </c>
      <c r="S76" s="90" t="n">
        <v>90</v>
      </c>
      <c r="T76" s="80"/>
      <c r="U76" s="74"/>
      <c r="V76" s="74"/>
      <c r="W76" s="74"/>
      <c r="X76" s="74"/>
      <c r="Y76" s="74"/>
      <c r="Z76" s="74"/>
      <c r="AA76" s="74"/>
      <c r="AB76" s="74"/>
      <c r="AC76" s="74"/>
      <c r="AD76" s="74"/>
      <c r="AE76" s="74"/>
      <c r="AF76" s="74"/>
      <c r="AG76" s="74"/>
      <c r="AH76" s="74"/>
      <c r="AI76" s="74"/>
      <c r="AJ76" s="74"/>
      <c r="AK76" s="74"/>
      <c r="AL76" s="74"/>
      <c r="AM76" s="76" t="e">
        <f aca="false">AVERAGE(U76:AC76)</f>
        <v>#DIV/0!</v>
      </c>
      <c r="AN76" s="92" t="n">
        <v>3.67</v>
      </c>
      <c r="AO76" s="77" t="s">
        <v>190</v>
      </c>
      <c r="AP76" s="75"/>
      <c r="AQ76" s="73" t="n">
        <f aca="false">AN76-(AN76-Q76)*(SIN((S76+AX76)*PI()/180))/(COS(AX76*PI()/180))</f>
        <v>2.41</v>
      </c>
      <c r="AR76" s="84" t="n">
        <f aca="false">H76+($M$1-M76)-(AN76-Q76)*(COS(S76*PI()/180))*(SIN((T76+13+2.3)*PI()/180))</f>
        <v>632554.032</v>
      </c>
      <c r="AS76" s="84" t="n">
        <f aca="false">I76+($N$1-N76)-(AN76-Q76)*(COS(S76*PI()/180))*(COS((T76+13+2.3)*PI()/180))</f>
        <v>3047018.176</v>
      </c>
      <c r="AT76" s="84" t="n">
        <f aca="false">J76+($O$1-O76)-R76+AN76-(AN76-Q76)*(SIN(S76*PI()/180))-L76</f>
        <v>59.094</v>
      </c>
      <c r="AU76" s="69"/>
      <c r="AV76" s="79"/>
      <c r="AW76" s="59"/>
      <c r="AX76" s="80"/>
    </row>
    <row r="77" customFormat="false" ht="13.5" hidden="false" customHeight="true" outlineLevel="0" collapsed="false">
      <c r="A77" s="96" t="s">
        <v>191</v>
      </c>
      <c r="B77" s="96"/>
      <c r="C77" s="96"/>
      <c r="D77" s="96"/>
      <c r="E77" s="111"/>
      <c r="F77" s="112"/>
      <c r="G77" s="113"/>
      <c r="H77" s="104"/>
      <c r="I77" s="97"/>
      <c r="J77" s="97"/>
      <c r="K77" s="96"/>
      <c r="L77" s="99"/>
      <c r="M77" s="100"/>
      <c r="N77" s="101"/>
      <c r="O77" s="101"/>
      <c r="P77" s="102"/>
      <c r="Q77" s="103"/>
      <c r="R77" s="104"/>
      <c r="S77" s="105"/>
      <c r="T77" s="105"/>
      <c r="U77" s="97"/>
      <c r="V77" s="97"/>
      <c r="W77" s="97"/>
      <c r="X77" s="97"/>
      <c r="Y77" s="97"/>
      <c r="Z77" s="97"/>
      <c r="AA77" s="97"/>
      <c r="AB77" s="97"/>
      <c r="AC77" s="97"/>
      <c r="AD77" s="97"/>
      <c r="AE77" s="97"/>
      <c r="AF77" s="97"/>
      <c r="AG77" s="97"/>
      <c r="AH77" s="97"/>
      <c r="AI77" s="97"/>
      <c r="AJ77" s="97"/>
      <c r="AK77" s="97"/>
      <c r="AL77" s="97"/>
      <c r="AM77" s="106"/>
      <c r="AN77" s="107"/>
      <c r="AO77" s="108"/>
      <c r="AP77" s="109"/>
      <c r="AQ77" s="104"/>
      <c r="AR77" s="99"/>
      <c r="AS77" s="99"/>
      <c r="AT77" s="99"/>
      <c r="AU77" s="96"/>
      <c r="AV77" s="110"/>
      <c r="AW77" s="59"/>
      <c r="AX77" s="105"/>
    </row>
    <row r="78" customFormat="false" ht="12.75" hidden="false" customHeight="true" outlineLevel="0" collapsed="false">
      <c r="A78" s="60" t="s">
        <v>192</v>
      </c>
      <c r="B78" s="69" t="s">
        <v>113</v>
      </c>
      <c r="C78" s="69"/>
      <c r="D78" s="87" t="s">
        <v>103</v>
      </c>
      <c r="E78" s="61"/>
      <c r="F78" s="81"/>
      <c r="G78" s="94" t="s">
        <v>114</v>
      </c>
      <c r="H78" s="1" t="n">
        <v>632428.153</v>
      </c>
      <c r="I78" s="1" t="n">
        <v>3045584.898</v>
      </c>
      <c r="J78" s="1" t="n">
        <v>115.05</v>
      </c>
      <c r="K78" s="79" t="s">
        <v>105</v>
      </c>
      <c r="L78" s="84" t="n">
        <v>0.11</v>
      </c>
      <c r="M78" s="1" t="n">
        <v>633905.233</v>
      </c>
      <c r="N78" s="1" t="n">
        <v>3049240.448</v>
      </c>
      <c r="O78" s="1" t="n">
        <v>56.39</v>
      </c>
      <c r="P78" s="95" t="s">
        <v>106</v>
      </c>
      <c r="Q78" s="72" t="n">
        <v>1.34</v>
      </c>
      <c r="R78" s="73" t="n">
        <v>1.34</v>
      </c>
      <c r="S78" s="90" t="n">
        <v>90</v>
      </c>
      <c r="T78" s="80"/>
      <c r="U78" s="74" t="n">
        <v>0.15</v>
      </c>
      <c r="V78" s="74" t="n">
        <v>0.16</v>
      </c>
      <c r="W78" s="74" t="n">
        <v>0.16</v>
      </c>
      <c r="X78" s="74" t="n">
        <v>0.18</v>
      </c>
      <c r="Y78" s="74" t="n">
        <v>0.24</v>
      </c>
      <c r="Z78" s="74" t="n">
        <v>0.17</v>
      </c>
      <c r="AA78" s="74" t="n">
        <v>0.24</v>
      </c>
      <c r="AB78" s="74" t="n">
        <v>0.16</v>
      </c>
      <c r="AC78" s="74" t="n">
        <v>0.22</v>
      </c>
      <c r="AD78" s="74"/>
      <c r="AE78" s="74"/>
      <c r="AF78" s="74"/>
      <c r="AG78" s="74"/>
      <c r="AH78" s="74"/>
      <c r="AI78" s="74"/>
      <c r="AJ78" s="74"/>
      <c r="AK78" s="74"/>
      <c r="AL78" s="74"/>
      <c r="AM78" s="76" t="n">
        <f aca="false">AVERAGE(U78:AC78)</f>
        <v>0.186666666666667</v>
      </c>
      <c r="AN78" s="92" t="n">
        <v>3.67</v>
      </c>
      <c r="AO78" s="77"/>
      <c r="AP78" s="75"/>
      <c r="AQ78" s="73" t="n">
        <f aca="false">AN78-(AN78-Q78)*(SIN((S78+AX78)*PI()/180))/(COS(AX78*PI()/180))</f>
        <v>1.34</v>
      </c>
      <c r="AR78" s="84" t="n">
        <f aca="false">H78+($M$1-M78)-(AN78-Q78)*(COS(S78*PI()/180))*(SIN((T78+13+2.3)*PI()/180))</f>
        <v>632428.153</v>
      </c>
      <c r="AS78" s="84" t="n">
        <f aca="false">I78+($N$1-N78)-(AN78-Q78)*(COS(S78*PI()/180))*(COS((T78+13+2.3)*PI()/180))</f>
        <v>3045584.898</v>
      </c>
      <c r="AT78" s="84" t="n">
        <f aca="false">J78+($O$1-O78)-R78+AN78-(AN78-Q78)*(SIN(S78*PI()/180))-L78</f>
        <v>114.83</v>
      </c>
      <c r="AU78" s="69"/>
      <c r="AV78" s="79"/>
      <c r="AW78" s="59"/>
      <c r="AX78" s="80"/>
    </row>
    <row r="79" customFormat="false" ht="12.75" hidden="false" customHeight="true" outlineLevel="0" collapsed="false">
      <c r="A79" s="60" t="s">
        <v>193</v>
      </c>
      <c r="B79" s="69" t="s">
        <v>113</v>
      </c>
      <c r="C79" s="69"/>
      <c r="D79" s="87" t="s">
        <v>103</v>
      </c>
      <c r="E79" s="61"/>
      <c r="F79" s="81"/>
      <c r="G79" s="94" t="s">
        <v>114</v>
      </c>
      <c r="H79" s="1" t="n">
        <v>632578.009</v>
      </c>
      <c r="I79" s="1" t="n">
        <v>3046090.591</v>
      </c>
      <c r="J79" s="1" t="n">
        <v>173.829</v>
      </c>
      <c r="K79" s="79" t="s">
        <v>105</v>
      </c>
      <c r="L79" s="84" t="n">
        <v>0.11</v>
      </c>
      <c r="M79" s="1" t="n">
        <v>633905.233</v>
      </c>
      <c r="N79" s="1" t="n">
        <v>3049240.448</v>
      </c>
      <c r="O79" s="1" t="n">
        <v>56.39</v>
      </c>
      <c r="P79" s="95" t="s">
        <v>106</v>
      </c>
      <c r="Q79" s="72" t="n">
        <v>1.45</v>
      </c>
      <c r="R79" s="73" t="n">
        <v>1.45</v>
      </c>
      <c r="S79" s="90" t="n">
        <v>90</v>
      </c>
      <c r="T79" s="80"/>
      <c r="U79" s="74" t="n">
        <v>0.07</v>
      </c>
      <c r="V79" s="74" t="n">
        <v>0.04</v>
      </c>
      <c r="W79" s="74" t="n">
        <v>0.05</v>
      </c>
      <c r="X79" s="74" t="n">
        <v>0.09</v>
      </c>
      <c r="Y79" s="74" t="n">
        <v>0.04</v>
      </c>
      <c r="Z79" s="74" t="n">
        <v>0.06</v>
      </c>
      <c r="AA79" s="74"/>
      <c r="AB79" s="74"/>
      <c r="AC79" s="74"/>
      <c r="AD79" s="74"/>
      <c r="AE79" s="74"/>
      <c r="AF79" s="74"/>
      <c r="AG79" s="74"/>
      <c r="AH79" s="74"/>
      <c r="AI79" s="74"/>
      <c r="AJ79" s="74"/>
      <c r="AK79" s="74"/>
      <c r="AL79" s="74"/>
      <c r="AM79" s="76" t="n">
        <f aca="false">AVERAGE(U79:AC79)</f>
        <v>0.0583333333333333</v>
      </c>
      <c r="AN79" s="92" t="n">
        <v>3.67</v>
      </c>
      <c r="AO79" s="77"/>
      <c r="AP79" s="75"/>
      <c r="AQ79" s="73" t="n">
        <f aca="false">AN79-(AN79-Q79)*(SIN((S79+AX79)*PI()/180))/(COS(AX79*PI()/180))</f>
        <v>1.45</v>
      </c>
      <c r="AR79" s="84" t="n">
        <f aca="false">H79+($M$1-M79)-(AN79-Q79)*(COS(S79*PI()/180))*(SIN((T79+13+2.3)*PI()/180))</f>
        <v>632578.009</v>
      </c>
      <c r="AS79" s="84" t="n">
        <f aca="false">I79+($N$1-N79)-(AN79-Q79)*(COS(S79*PI()/180))*(COS((T79+13+2.3)*PI()/180))</f>
        <v>3046090.591</v>
      </c>
      <c r="AT79" s="84" t="n">
        <f aca="false">J79+($O$1-O79)-R79+AN79-(AN79-Q79)*(SIN(S79*PI()/180))-L79</f>
        <v>173.609</v>
      </c>
      <c r="AU79" s="69"/>
      <c r="AV79" s="79"/>
      <c r="AW79" s="59"/>
      <c r="AX79" s="80"/>
    </row>
    <row r="80" customFormat="false" ht="12.75" hidden="false" customHeight="true" outlineLevel="0" collapsed="false">
      <c r="A80" s="60" t="s">
        <v>194</v>
      </c>
      <c r="B80" s="69" t="s">
        <v>113</v>
      </c>
      <c r="C80" s="69"/>
      <c r="D80" s="87" t="s">
        <v>103</v>
      </c>
      <c r="E80" s="61"/>
      <c r="F80" s="81"/>
      <c r="G80" s="94" t="s">
        <v>114</v>
      </c>
      <c r="H80" s="1" t="n">
        <v>632151.549</v>
      </c>
      <c r="I80" s="1" t="n">
        <v>3045372.63</v>
      </c>
      <c r="J80" s="1" t="n">
        <v>47.554</v>
      </c>
      <c r="K80" s="79" t="s">
        <v>105</v>
      </c>
      <c r="L80" s="84" t="n">
        <v>0.11</v>
      </c>
      <c r="M80" s="1" t="n">
        <v>633905.233</v>
      </c>
      <c r="N80" s="1" t="n">
        <v>3049240.448</v>
      </c>
      <c r="O80" s="1" t="n">
        <v>56.39</v>
      </c>
      <c r="P80" s="95" t="s">
        <v>106</v>
      </c>
      <c r="Q80" s="72" t="n">
        <v>1.39</v>
      </c>
      <c r="R80" s="73" t="n">
        <v>1.39</v>
      </c>
      <c r="S80" s="90" t="n">
        <v>90</v>
      </c>
      <c r="T80" s="80"/>
      <c r="U80" s="74"/>
      <c r="V80" s="74"/>
      <c r="W80" s="74"/>
      <c r="X80" s="74"/>
      <c r="Y80" s="74"/>
      <c r="Z80" s="74"/>
      <c r="AA80" s="74"/>
      <c r="AB80" s="74"/>
      <c r="AC80" s="74"/>
      <c r="AD80" s="74"/>
      <c r="AE80" s="74"/>
      <c r="AF80" s="74"/>
      <c r="AG80" s="74"/>
      <c r="AH80" s="74"/>
      <c r="AI80" s="74"/>
      <c r="AJ80" s="74"/>
      <c r="AK80" s="74"/>
      <c r="AL80" s="74"/>
      <c r="AM80" s="76" t="e">
        <f aca="false">AVERAGE(U80:AC80)</f>
        <v>#DIV/0!</v>
      </c>
      <c r="AN80" s="92" t="n">
        <v>3.67</v>
      </c>
      <c r="AO80" s="77" t="s">
        <v>175</v>
      </c>
      <c r="AP80" s="75"/>
      <c r="AQ80" s="73" t="n">
        <f aca="false">AN80-(AN80-Q80)*(SIN((S80+AX80)*PI()/180))/(COS(AX80*PI()/180))</f>
        <v>1.39</v>
      </c>
      <c r="AR80" s="84" t="n">
        <f aca="false">H80+($M$1-M80)-(AN80-Q80)*(COS(S80*PI()/180))*(SIN((T80+13+2.3)*PI()/180))</f>
        <v>632151.549</v>
      </c>
      <c r="AS80" s="84" t="n">
        <f aca="false">I80+($N$1-N80)-(AN80-Q80)*(COS(S80*PI()/180))*(COS((T80+13+2.3)*PI()/180))</f>
        <v>3045372.63</v>
      </c>
      <c r="AT80" s="84" t="n">
        <f aca="false">J80+($O$1-O80)-R80+AN80-(AN80-Q80)*(SIN(S80*PI()/180))-L80</f>
        <v>47.334</v>
      </c>
      <c r="AU80" s="69"/>
      <c r="AV80" s="79"/>
      <c r="AW80" s="59"/>
      <c r="AX80" s="80"/>
    </row>
    <row r="81" customFormat="false" ht="12.75" hidden="false" customHeight="true" outlineLevel="0" collapsed="false">
      <c r="A81" s="60" t="s">
        <v>195</v>
      </c>
      <c r="B81" s="69" t="s">
        <v>113</v>
      </c>
      <c r="C81" s="69"/>
      <c r="D81" s="87" t="s">
        <v>103</v>
      </c>
      <c r="E81" s="61"/>
      <c r="F81" s="81"/>
      <c r="G81" s="94" t="s">
        <v>114</v>
      </c>
      <c r="H81" s="1" t="n">
        <v>632250.418</v>
      </c>
      <c r="I81" s="1" t="n">
        <v>3045424.047</v>
      </c>
      <c r="J81" s="1" t="n">
        <v>73.011</v>
      </c>
      <c r="K81" s="79" t="s">
        <v>105</v>
      </c>
      <c r="L81" s="84" t="n">
        <v>0.11</v>
      </c>
      <c r="M81" s="1" t="n">
        <v>633905.233</v>
      </c>
      <c r="N81" s="1" t="n">
        <v>3049240.448</v>
      </c>
      <c r="O81" s="1" t="n">
        <v>56.39</v>
      </c>
      <c r="P81" s="95" t="s">
        <v>106</v>
      </c>
      <c r="Q81" s="72" t="n">
        <v>2</v>
      </c>
      <c r="R81" s="73" t="n">
        <v>2</v>
      </c>
      <c r="S81" s="90" t="n">
        <v>90</v>
      </c>
      <c r="T81" s="80"/>
      <c r="U81" s="74"/>
      <c r="V81" s="74"/>
      <c r="W81" s="74"/>
      <c r="X81" s="74"/>
      <c r="Y81" s="74"/>
      <c r="Z81" s="74"/>
      <c r="AA81" s="74"/>
      <c r="AB81" s="74"/>
      <c r="AC81" s="74"/>
      <c r="AD81" s="74"/>
      <c r="AE81" s="74"/>
      <c r="AF81" s="74"/>
      <c r="AG81" s="74"/>
      <c r="AH81" s="74"/>
      <c r="AI81" s="74"/>
      <c r="AJ81" s="74"/>
      <c r="AK81" s="74"/>
      <c r="AL81" s="74"/>
      <c r="AM81" s="76" t="e">
        <f aca="false">AVERAGE(U81:AC81)</f>
        <v>#DIV/0!</v>
      </c>
      <c r="AN81" s="92" t="n">
        <v>3.67</v>
      </c>
      <c r="AO81" s="77" t="s">
        <v>175</v>
      </c>
      <c r="AP81" s="75"/>
      <c r="AQ81" s="73" t="n">
        <f aca="false">AN81-(AN81-Q81)*(SIN((S81+AX81)*PI()/180))/(COS(AX81*PI()/180))</f>
        <v>2</v>
      </c>
      <c r="AR81" s="84" t="n">
        <f aca="false">H81+($M$1-M81)-(AN81-Q81)*(COS(S81*PI()/180))*(SIN((T81+13+2.3)*PI()/180))</f>
        <v>632250.418</v>
      </c>
      <c r="AS81" s="84" t="n">
        <f aca="false">I81+($N$1-N81)-(AN81-Q81)*(COS(S81*PI()/180))*(COS((T81+13+2.3)*PI()/180))</f>
        <v>3045424.047</v>
      </c>
      <c r="AT81" s="84" t="n">
        <f aca="false">J81+($O$1-O81)-R81+AN81-(AN81-Q81)*(SIN(S81*PI()/180))-L81</f>
        <v>72.791</v>
      </c>
      <c r="AU81" s="69"/>
      <c r="AV81" s="79"/>
      <c r="AW81" s="59"/>
      <c r="AX81" s="80"/>
    </row>
    <row r="82" customFormat="false" ht="12.75" hidden="false" customHeight="true" outlineLevel="0" collapsed="false">
      <c r="A82" s="60" t="s">
        <v>196</v>
      </c>
      <c r="B82" s="69" t="s">
        <v>122</v>
      </c>
      <c r="C82" s="69"/>
      <c r="D82" s="87" t="s">
        <v>103</v>
      </c>
      <c r="E82" s="61"/>
      <c r="F82" s="81"/>
      <c r="G82" s="88" t="s">
        <v>123</v>
      </c>
      <c r="H82" s="1" t="n">
        <v>633130.73</v>
      </c>
      <c r="I82" s="1" t="n">
        <v>3048034.717</v>
      </c>
      <c r="J82" s="1" t="n">
        <v>96.897</v>
      </c>
      <c r="K82" s="79" t="s">
        <v>105</v>
      </c>
      <c r="L82" s="84" t="n">
        <v>0</v>
      </c>
      <c r="M82" s="1" t="n">
        <v>633905.233</v>
      </c>
      <c r="N82" s="1" t="n">
        <v>3049240.448</v>
      </c>
      <c r="O82" s="1" t="n">
        <v>56.39</v>
      </c>
      <c r="P82" s="95" t="s">
        <v>171</v>
      </c>
      <c r="Q82" s="72" t="n">
        <v>2.38</v>
      </c>
      <c r="R82" s="73" t="n">
        <v>0.86</v>
      </c>
      <c r="S82" s="90" t="n">
        <v>90</v>
      </c>
      <c r="T82" s="80"/>
      <c r="U82" s="74"/>
      <c r="V82" s="74"/>
      <c r="W82" s="74"/>
      <c r="X82" s="74"/>
      <c r="Y82" s="74"/>
      <c r="Z82" s="74"/>
      <c r="AA82" s="74"/>
      <c r="AB82" s="74"/>
      <c r="AC82" s="74"/>
      <c r="AD82" s="74"/>
      <c r="AE82" s="74"/>
      <c r="AF82" s="74"/>
      <c r="AG82" s="74"/>
      <c r="AH82" s="74"/>
      <c r="AI82" s="74"/>
      <c r="AJ82" s="74"/>
      <c r="AK82" s="74"/>
      <c r="AL82" s="74"/>
      <c r="AM82" s="76" t="e">
        <f aca="false">AVERAGE(U82:AC82)</f>
        <v>#DIV/0!</v>
      </c>
      <c r="AN82" s="92" t="n">
        <v>3.67</v>
      </c>
      <c r="AO82" s="77" t="s">
        <v>190</v>
      </c>
      <c r="AP82" s="75"/>
      <c r="AQ82" s="73" t="n">
        <f aca="false">AN82-(AN82-Q82)*(SIN((S82+AX82)*PI()/180))/(COS(AX82*PI()/180))</f>
        <v>2.38</v>
      </c>
      <c r="AR82" s="84" t="n">
        <f aca="false">H82+($M$1-M82)-(AN82-Q82)*(COS(S82*PI()/180))*(SIN((T82+13+2.3)*PI()/180))</f>
        <v>633130.73</v>
      </c>
      <c r="AS82" s="84" t="n">
        <f aca="false">I82+($N$1-N82)-(AN82-Q82)*(COS(S82*PI()/180))*(COS((T82+13+2.3)*PI()/180))</f>
        <v>3048034.717</v>
      </c>
      <c r="AT82" s="84" t="n">
        <f aca="false">J82+($O$1-O82)-R82+AN82-(AN82-Q82)*(SIN(S82*PI()/180))-L82</f>
        <v>98.307</v>
      </c>
      <c r="AU82" s="69"/>
      <c r="AV82" s="79"/>
      <c r="AW82" s="59"/>
      <c r="AX82" s="80"/>
    </row>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true" verticalCentered="true"/>
  <pageMargins left="0.315277777777778" right="0.315277777777778" top="1" bottom="1"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&amp;C&amp;A</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X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9.44"/>
    <col collapsed="false" customWidth="true" hidden="false" outlineLevel="0" max="3" min="3" style="1" width="9.2"/>
    <col collapsed="false" customWidth="true" hidden="false" outlineLevel="0" max="5" min="4" style="1" width="9.44"/>
    <col collapsed="false" customWidth="true" hidden="false" outlineLevel="0" max="6" min="6" style="1" width="9.2"/>
    <col collapsed="false" customWidth="true" hidden="false" outlineLevel="0" max="7" min="7" style="1" width="15.44"/>
    <col collapsed="false" customWidth="true" hidden="false" outlineLevel="0" max="10" min="8" style="1" width="11.99"/>
    <col collapsed="false" customWidth="true" hidden="false" outlineLevel="0" max="11" min="11" style="1" width="7.11"/>
    <col collapsed="false" customWidth="true" hidden="false" outlineLevel="0" max="12" min="12" style="1" width="8.87"/>
    <col collapsed="false" customWidth="true" hidden="false" outlineLevel="0" max="15" min="13" style="1" width="11.99"/>
    <col collapsed="false" customWidth="true" hidden="false" outlineLevel="0" max="16" min="16" style="1" width="30.43"/>
    <col collapsed="false" customWidth="true" hidden="false" outlineLevel="0" max="20" min="17" style="1" width="6.43"/>
    <col collapsed="false" customWidth="true" hidden="false" outlineLevel="0" max="38" min="21" style="1" width="4.44"/>
    <col collapsed="false" customWidth="true" hidden="false" outlineLevel="0" max="39" min="39" style="1" width="8.44"/>
    <col collapsed="false" customWidth="true" hidden="false" outlineLevel="0" max="40" min="40" style="1" width="6.43"/>
    <col collapsed="false" customWidth="true" hidden="false" outlineLevel="0" max="42" min="41" style="1" width="30.43"/>
    <col collapsed="false" customWidth="true" hidden="false" outlineLevel="0" max="43" min="43" style="1" width="6.43"/>
    <col collapsed="false" customWidth="true" hidden="false" outlineLevel="0" max="46" min="44" style="1" width="11.99"/>
    <col collapsed="false" customWidth="true" hidden="false" outlineLevel="0" max="47" min="47" style="1" width="6.43"/>
    <col collapsed="false" customWidth="true" hidden="false" outlineLevel="0" max="48" min="48" style="1" width="30.43"/>
    <col collapsed="false" customWidth="true" hidden="false" outlineLevel="0" max="50" min="49" style="1" width="6.43"/>
    <col collapsed="false" customWidth="true" hidden="false" outlineLevel="0" max="1025" min="51" style="1" width="12.67"/>
  </cols>
  <sheetData>
    <row r="1" customFormat="false" ht="12.75" hidden="false" customHeight="true" outlineLevel="0" collapsed="false">
      <c r="A1" s="14" t="s">
        <v>42</v>
      </c>
      <c r="B1" s="15" t="s">
        <v>43</v>
      </c>
      <c r="C1" s="16" t="s">
        <v>44</v>
      </c>
      <c r="D1" s="17" t="s">
        <v>45</v>
      </c>
      <c r="E1" s="18" t="s">
        <v>46</v>
      </c>
      <c r="F1" s="19" t="s">
        <v>47</v>
      </c>
      <c r="G1" s="20" t="s">
        <v>48</v>
      </c>
      <c r="H1" s="21" t="s">
        <v>49</v>
      </c>
      <c r="I1" s="22"/>
      <c r="J1" s="23"/>
      <c r="K1" s="24"/>
      <c r="L1" s="25" t="s">
        <v>50</v>
      </c>
      <c r="M1" s="26" t="n">
        <v>633905.233</v>
      </c>
      <c r="N1" s="26" t="n">
        <v>3049240.448</v>
      </c>
      <c r="O1" s="26" t="n">
        <f aca="false">56.39-0.11</f>
        <v>56.28</v>
      </c>
      <c r="P1" s="126" t="s">
        <v>197</v>
      </c>
      <c r="Q1" s="127"/>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32"/>
      <c r="AV1" s="33"/>
      <c r="AW1" s="60"/>
      <c r="AX1" s="29"/>
    </row>
    <row r="2" customFormat="false" ht="12.75" hidden="false" customHeight="true" outlineLevel="0" collapsed="false">
      <c r="A2" s="34" t="s">
        <v>52</v>
      </c>
      <c r="B2" s="35" t="s">
        <v>53</v>
      </c>
      <c r="C2" s="36" t="s">
        <v>54</v>
      </c>
      <c r="D2" s="35" t="s">
        <v>55</v>
      </c>
      <c r="E2" s="37" t="s">
        <v>56</v>
      </c>
      <c r="F2" s="38" t="s">
        <v>57</v>
      </c>
      <c r="G2" s="128" t="s">
        <v>58</v>
      </c>
      <c r="H2" s="40" t="s">
        <v>1</v>
      </c>
      <c r="I2" s="41" t="s">
        <v>3</v>
      </c>
      <c r="J2" s="41" t="s">
        <v>5</v>
      </c>
      <c r="K2" s="41" t="s">
        <v>59</v>
      </c>
      <c r="L2" s="42" t="s">
        <v>60</v>
      </c>
      <c r="M2" s="43" t="s">
        <v>11</v>
      </c>
      <c r="N2" s="43" t="s">
        <v>61</v>
      </c>
      <c r="O2" s="43" t="s">
        <v>15</v>
      </c>
      <c r="P2" s="44" t="s">
        <v>62</v>
      </c>
      <c r="Q2" s="45" t="s">
        <v>63</v>
      </c>
      <c r="R2" s="46" t="s">
        <v>64</v>
      </c>
      <c r="S2" s="47" t="s">
        <v>22</v>
      </c>
      <c r="T2" s="48" t="s">
        <v>24</v>
      </c>
      <c r="U2" s="49"/>
      <c r="V2" s="50"/>
      <c r="W2" s="50"/>
      <c r="X2" s="50"/>
      <c r="Y2" s="50" t="s">
        <v>65</v>
      </c>
      <c r="Z2" s="50"/>
      <c r="AA2" s="50"/>
      <c r="AB2" s="50"/>
      <c r="AC2" s="51"/>
      <c r="AD2" s="50"/>
      <c r="AE2" s="50"/>
      <c r="AF2" s="50"/>
      <c r="AG2" s="50"/>
      <c r="AH2" s="50" t="s">
        <v>66</v>
      </c>
      <c r="AI2" s="50"/>
      <c r="AJ2" s="50"/>
      <c r="AK2" s="50"/>
      <c r="AL2" s="52"/>
      <c r="AM2" s="129" t="s">
        <v>67</v>
      </c>
      <c r="AN2" s="54" t="s">
        <v>68</v>
      </c>
      <c r="AO2" s="130" t="s">
        <v>69</v>
      </c>
      <c r="AP2" s="44" t="s">
        <v>70</v>
      </c>
      <c r="AQ2" s="56" t="s">
        <v>71</v>
      </c>
      <c r="AR2" s="57" t="s">
        <v>72</v>
      </c>
      <c r="AS2" s="58" t="s">
        <v>73</v>
      </c>
      <c r="AT2" s="58" t="s">
        <v>74</v>
      </c>
      <c r="AU2" s="49" t="s">
        <v>75</v>
      </c>
      <c r="AV2" s="44" t="s">
        <v>76</v>
      </c>
      <c r="AW2" s="131" t="s">
        <v>40</v>
      </c>
      <c r="AX2" s="48" t="s">
        <v>26</v>
      </c>
    </row>
    <row r="3" customFormat="false" ht="12.75" hidden="false" customHeight="true" outlineLevel="0" collapsed="false">
      <c r="A3" s="60"/>
      <c r="B3" s="61" t="s">
        <v>77</v>
      </c>
      <c r="C3" s="62" t="s">
        <v>78</v>
      </c>
      <c r="D3" s="63" t="s">
        <v>198</v>
      </c>
      <c r="E3" s="61" t="s">
        <v>77</v>
      </c>
      <c r="F3" s="62" t="s">
        <v>78</v>
      </c>
      <c r="G3" s="132"/>
      <c r="H3" s="66" t="s">
        <v>81</v>
      </c>
      <c r="I3" s="67" t="s">
        <v>82</v>
      </c>
      <c r="J3" s="68" t="s">
        <v>83</v>
      </c>
      <c r="K3" s="69"/>
      <c r="L3" s="70"/>
      <c r="M3" s="67" t="s">
        <v>84</v>
      </c>
      <c r="N3" s="67" t="s">
        <v>85</v>
      </c>
      <c r="O3" s="68" t="s">
        <v>86</v>
      </c>
      <c r="P3" s="71"/>
      <c r="Q3" s="72" t="s">
        <v>87</v>
      </c>
      <c r="R3" s="73" t="s">
        <v>87</v>
      </c>
      <c r="S3" s="74" t="s">
        <v>88</v>
      </c>
      <c r="T3" s="74" t="s">
        <v>88</v>
      </c>
      <c r="U3" s="74" t="s">
        <v>89</v>
      </c>
      <c r="V3" s="74" t="s">
        <v>90</v>
      </c>
      <c r="W3" s="74" t="s">
        <v>91</v>
      </c>
      <c r="X3" s="74" t="s">
        <v>92</v>
      </c>
      <c r="Y3" s="74" t="s">
        <v>93</v>
      </c>
      <c r="Z3" s="74" t="s">
        <v>94</v>
      </c>
      <c r="AA3" s="74" t="s">
        <v>95</v>
      </c>
      <c r="AB3" s="74" t="s">
        <v>96</v>
      </c>
      <c r="AC3" s="75" t="s">
        <v>97</v>
      </c>
      <c r="AD3" s="73" t="s">
        <v>89</v>
      </c>
      <c r="AE3" s="74" t="s">
        <v>90</v>
      </c>
      <c r="AF3" s="74" t="s">
        <v>91</v>
      </c>
      <c r="AG3" s="74" t="s">
        <v>92</v>
      </c>
      <c r="AH3" s="74" t="s">
        <v>93</v>
      </c>
      <c r="AI3" s="74" t="s">
        <v>94</v>
      </c>
      <c r="AJ3" s="74" t="s">
        <v>95</v>
      </c>
      <c r="AK3" s="74" t="s">
        <v>96</v>
      </c>
      <c r="AL3" s="74" t="s">
        <v>97</v>
      </c>
      <c r="AM3" s="74" t="s">
        <v>98</v>
      </c>
      <c r="AN3" s="74" t="s">
        <v>99</v>
      </c>
      <c r="AO3" s="74"/>
      <c r="AP3" s="75"/>
      <c r="AQ3" s="73" t="s">
        <v>87</v>
      </c>
      <c r="AR3" s="78" t="s">
        <v>81</v>
      </c>
      <c r="AS3" s="67" t="s">
        <v>82</v>
      </c>
      <c r="AT3" s="68" t="s">
        <v>83</v>
      </c>
      <c r="AU3" s="70"/>
      <c r="AV3" s="79"/>
      <c r="AW3" s="60"/>
      <c r="AX3" s="80"/>
    </row>
    <row r="4" customFormat="false" ht="12.75" hidden="false" customHeight="true" outlineLevel="0" collapsed="false">
      <c r="A4" s="69"/>
      <c r="B4" s="61"/>
      <c r="C4" s="81"/>
      <c r="D4" s="69"/>
      <c r="E4" s="61"/>
      <c r="F4" s="81"/>
      <c r="G4" s="69"/>
      <c r="H4" s="68"/>
      <c r="I4" s="83"/>
      <c r="J4" s="68"/>
      <c r="K4" s="69"/>
      <c r="L4" s="84"/>
      <c r="M4" s="70"/>
      <c r="N4" s="70"/>
      <c r="O4" s="70"/>
      <c r="P4" s="89"/>
      <c r="Q4" s="72"/>
      <c r="R4" s="73"/>
      <c r="S4" s="74"/>
      <c r="T4" s="74"/>
      <c r="U4" s="74"/>
      <c r="V4" s="74"/>
      <c r="W4" s="74"/>
      <c r="X4" s="74"/>
      <c r="Y4" s="74"/>
      <c r="Z4" s="74"/>
      <c r="AA4" s="74"/>
      <c r="AB4" s="74"/>
      <c r="AC4" s="74"/>
      <c r="AD4" s="74"/>
      <c r="AE4" s="74"/>
      <c r="AF4" s="74"/>
      <c r="AG4" s="74"/>
      <c r="AH4" s="74"/>
      <c r="AI4" s="74"/>
      <c r="AJ4" s="74"/>
      <c r="AK4" s="74"/>
      <c r="AL4" s="74"/>
      <c r="AM4" s="74"/>
      <c r="AN4" s="74"/>
      <c r="AO4" s="74"/>
      <c r="AP4" s="75"/>
      <c r="AQ4" s="73"/>
      <c r="AR4" s="84"/>
      <c r="AS4" s="74"/>
      <c r="AT4" s="74"/>
      <c r="AU4" s="70"/>
      <c r="AV4" s="79"/>
      <c r="AW4" s="60"/>
      <c r="AX4" s="80"/>
    </row>
    <row r="5" customFormat="false" ht="12.75" hidden="false" customHeight="true" outlineLevel="0" collapsed="false">
      <c r="A5" s="69" t="s">
        <v>100</v>
      </c>
      <c r="B5" s="69"/>
      <c r="C5" s="69"/>
      <c r="D5" s="69"/>
      <c r="E5" s="61"/>
      <c r="F5" s="81"/>
      <c r="G5" s="69"/>
      <c r="H5" s="85"/>
      <c r="I5" s="85"/>
      <c r="J5" s="85"/>
      <c r="K5" s="133"/>
      <c r="L5" s="84"/>
      <c r="M5" s="85"/>
      <c r="N5" s="85"/>
      <c r="O5" s="85"/>
      <c r="P5" s="95"/>
      <c r="Q5" s="72"/>
      <c r="R5" s="73"/>
      <c r="S5" s="90" t="n">
        <v>90</v>
      </c>
      <c r="T5" s="80"/>
      <c r="U5" s="74"/>
      <c r="V5" s="74"/>
      <c r="W5" s="74"/>
      <c r="X5" s="74"/>
      <c r="Y5" s="74"/>
      <c r="Z5" s="74"/>
      <c r="AA5" s="74"/>
      <c r="AB5" s="74"/>
      <c r="AC5" s="74"/>
      <c r="AD5" s="74"/>
      <c r="AE5" s="74"/>
      <c r="AF5" s="74"/>
      <c r="AG5" s="74"/>
      <c r="AH5" s="74"/>
      <c r="AI5" s="74"/>
      <c r="AJ5" s="74"/>
      <c r="AK5" s="74"/>
      <c r="AL5" s="74"/>
      <c r="AM5" s="134" t="e">
        <f aca="false">AVERAGE(U5:AC5)</f>
        <v>#DIV/0!</v>
      </c>
      <c r="AN5" s="92" t="n">
        <v>3.67</v>
      </c>
      <c r="AP5" s="75"/>
      <c r="AQ5" s="73" t="n">
        <f aca="false">AN5-(AN5-Q5)*(SIN((S5+AX5)*PI()/180))/(COS(AX5*PI()/180))</f>
        <v>0</v>
      </c>
      <c r="AR5" s="84" t="n">
        <f aca="false">H5+($M$1-M5)-(AN5-Q5)*(COS(S5*PI()/180))*(SIN((T5+13+2.3)*PI()/180))</f>
        <v>633905.233</v>
      </c>
      <c r="AS5" s="84" t="n">
        <f aca="false">I5+($N$1-N5)-(AN5-Q5)*(COS(S5*PI()/180))*(COS((T5+13+2.3)*PI()/180))</f>
        <v>3049240.448</v>
      </c>
      <c r="AT5" s="84" t="n">
        <f aca="false">J5+($O$1-O5)-R5+AN5-(AN5-Q5)*(SIN(S5*PI()/180))-L5</f>
        <v>56.28</v>
      </c>
      <c r="AU5" s="69"/>
      <c r="AV5" s="79"/>
      <c r="AW5" s="93" t="n">
        <f aca="false">AQ5-'Estacas Hurd'!AQ5</f>
        <v>-1.05</v>
      </c>
      <c r="AX5" s="80"/>
    </row>
    <row r="6" customFormat="false" ht="12.75" hidden="false" customHeight="true" outlineLevel="0" collapsed="false">
      <c r="A6" s="69" t="s">
        <v>108</v>
      </c>
      <c r="B6" s="69"/>
      <c r="C6" s="69"/>
      <c r="D6" s="69"/>
      <c r="E6" s="61"/>
      <c r="F6" s="81"/>
      <c r="G6" s="69"/>
      <c r="H6" s="85"/>
      <c r="I6" s="85"/>
      <c r="J6" s="85"/>
      <c r="K6" s="59"/>
      <c r="L6" s="84"/>
      <c r="M6" s="85"/>
      <c r="N6" s="85"/>
      <c r="O6" s="85"/>
      <c r="P6" s="95"/>
      <c r="Q6" s="72"/>
      <c r="R6" s="73"/>
      <c r="S6" s="90" t="n">
        <v>90</v>
      </c>
      <c r="T6" s="80"/>
      <c r="U6" s="93"/>
      <c r="V6" s="74"/>
      <c r="W6" s="74"/>
      <c r="X6" s="74"/>
      <c r="Y6" s="74"/>
      <c r="Z6" s="74"/>
      <c r="AA6" s="74"/>
      <c r="AB6" s="74"/>
      <c r="AC6" s="74"/>
      <c r="AD6" s="74"/>
      <c r="AE6" s="74"/>
      <c r="AF6" s="74"/>
      <c r="AG6" s="74"/>
      <c r="AH6" s="74"/>
      <c r="AI6" s="74"/>
      <c r="AJ6" s="74"/>
      <c r="AK6" s="74"/>
      <c r="AL6" s="74"/>
      <c r="AM6" s="134" t="e">
        <f aca="false">AVERAGE(U6:AC6)</f>
        <v>#DIV/0!</v>
      </c>
      <c r="AN6" s="92" t="n">
        <v>3.67</v>
      </c>
      <c r="AP6" s="75"/>
      <c r="AQ6" s="73" t="n">
        <f aca="false">AN6-(AN6-Q6)*(SIN((S6+AX6)*PI()/180))/(COS(AX6*PI()/180))</f>
        <v>0</v>
      </c>
      <c r="AR6" s="84" t="n">
        <f aca="false">H6+($M$1-M6)-(AN6-Q6)*(COS(S6*PI()/180))*(SIN((T6+13+2.3)*PI()/180))</f>
        <v>633905.233</v>
      </c>
      <c r="AS6" s="84" t="n">
        <f aca="false">I6+($N$1-N6)-(AN6-Q6)*(COS(S6*PI()/180))*(COS((T6+13+2.3)*PI()/180))</f>
        <v>3049240.448</v>
      </c>
      <c r="AT6" s="84" t="n">
        <f aca="false">J6+($O$1-O6)-R6+AN6-(AN6-Q6)*(SIN(S6*PI()/180))-L6</f>
        <v>56.28</v>
      </c>
      <c r="AU6" s="69"/>
      <c r="AV6" s="79"/>
      <c r="AW6" s="93" t="n">
        <f aca="false">AQ6-'Estacas Hurd'!AQ6</f>
        <v>-0.54</v>
      </c>
      <c r="AX6" s="80"/>
    </row>
    <row r="7" customFormat="false" ht="12.75" hidden="false" customHeight="true" outlineLevel="0" collapsed="false">
      <c r="A7" s="69" t="s">
        <v>110</v>
      </c>
      <c r="B7" s="69"/>
      <c r="C7" s="69"/>
      <c r="D7" s="69"/>
      <c r="E7" s="61"/>
      <c r="F7" s="81"/>
      <c r="G7" s="69"/>
      <c r="H7" s="85"/>
      <c r="I7" s="85"/>
      <c r="J7" s="85"/>
      <c r="K7" s="59"/>
      <c r="L7" s="84"/>
      <c r="M7" s="85"/>
      <c r="N7" s="85"/>
      <c r="O7" s="85"/>
      <c r="P7" s="95"/>
      <c r="Q7" s="72"/>
      <c r="R7" s="73"/>
      <c r="S7" s="90" t="n">
        <v>90</v>
      </c>
      <c r="T7" s="80"/>
      <c r="U7" s="74"/>
      <c r="V7" s="74"/>
      <c r="W7" s="74"/>
      <c r="X7" s="74"/>
      <c r="Y7" s="74"/>
      <c r="Z7" s="74"/>
      <c r="AA7" s="74"/>
      <c r="AB7" s="74"/>
      <c r="AC7" s="74"/>
      <c r="AD7" s="74"/>
      <c r="AE7" s="74"/>
      <c r="AF7" s="74"/>
      <c r="AG7" s="74"/>
      <c r="AH7" s="74"/>
      <c r="AI7" s="74"/>
      <c r="AJ7" s="74"/>
      <c r="AK7" s="74"/>
      <c r="AL7" s="74"/>
      <c r="AM7" s="134" t="e">
        <f aca="false">AVERAGE(U7:AC7)</f>
        <v>#DIV/0!</v>
      </c>
      <c r="AN7" s="92" t="n">
        <v>3.67</v>
      </c>
      <c r="AP7" s="75"/>
      <c r="AQ7" s="73" t="n">
        <f aca="false">AN7-(AN7-Q7)*(SIN((S7+AX7)*PI()/180))/(COS(AX7*PI()/180))</f>
        <v>0</v>
      </c>
      <c r="AR7" s="84" t="n">
        <f aca="false">H7+($M$1-M7)-(AN7-Q7)*(COS(S7*PI()/180))*(SIN((T7+13+2.3)*PI()/180))</f>
        <v>633905.233</v>
      </c>
      <c r="AS7" s="84" t="n">
        <f aca="false">I7+($N$1-N7)-(AN7-Q7)*(COS(S7*PI()/180))*(COS((T7+13+2.3)*PI()/180))</f>
        <v>3049240.448</v>
      </c>
      <c r="AT7" s="84" t="n">
        <f aca="false">J7+($O$1-O7)-R7+AN7-(AN7-Q7)*(SIN(S7*PI()/180))-L7</f>
        <v>56.28</v>
      </c>
      <c r="AU7" s="69"/>
      <c r="AV7" s="79"/>
      <c r="AW7" s="93" t="n">
        <f aca="false">AQ7-'Estacas Hurd'!AQ7</f>
        <v>-1.15</v>
      </c>
      <c r="AX7" s="80"/>
    </row>
    <row r="8" customFormat="false" ht="12.75" hidden="false" customHeight="true" outlineLevel="0" collapsed="false">
      <c r="A8" s="69" t="s">
        <v>112</v>
      </c>
      <c r="B8" s="69"/>
      <c r="C8" s="69"/>
      <c r="D8" s="69"/>
      <c r="E8" s="61"/>
      <c r="F8" s="81"/>
      <c r="G8" s="69"/>
      <c r="H8" s="85"/>
      <c r="I8" s="85"/>
      <c r="J8" s="85"/>
      <c r="K8" s="133"/>
      <c r="L8" s="84"/>
      <c r="M8" s="85"/>
      <c r="N8" s="85"/>
      <c r="O8" s="85"/>
      <c r="P8" s="95"/>
      <c r="Q8" s="72"/>
      <c r="R8" s="73"/>
      <c r="S8" s="90" t="n">
        <v>90</v>
      </c>
      <c r="T8" s="80"/>
      <c r="U8" s="74"/>
      <c r="V8" s="74"/>
      <c r="W8" s="74"/>
      <c r="X8" s="74"/>
      <c r="Y8" s="74"/>
      <c r="Z8" s="74"/>
      <c r="AA8" s="74"/>
      <c r="AB8" s="74"/>
      <c r="AC8" s="74"/>
      <c r="AD8" s="74"/>
      <c r="AE8" s="74"/>
      <c r="AF8" s="74"/>
      <c r="AG8" s="74"/>
      <c r="AH8" s="74"/>
      <c r="AI8" s="74"/>
      <c r="AJ8" s="74"/>
      <c r="AK8" s="74"/>
      <c r="AL8" s="74"/>
      <c r="AM8" s="134" t="e">
        <f aca="false">AVERAGE(U8:AC8)</f>
        <v>#DIV/0!</v>
      </c>
      <c r="AN8" s="92" t="n">
        <v>3.67</v>
      </c>
      <c r="AP8" s="75"/>
      <c r="AQ8" s="73" t="n">
        <f aca="false">AN8-(AN8-Q8)*(SIN((S8+AX8)*PI()/180))/(COS(AX8*PI()/180))</f>
        <v>0</v>
      </c>
      <c r="AR8" s="84" t="n">
        <f aca="false">H8+($M$1-M8)-(AN8-Q8)*(COS(S8*PI()/180))*(SIN((T8+13+2.3)*PI()/180))</f>
        <v>633905.233</v>
      </c>
      <c r="AS8" s="84" t="n">
        <f aca="false">I8+($N$1-N8)-(AN8-Q8)*(COS(S8*PI()/180))*(COS((T8+13+2.3)*PI()/180))</f>
        <v>3049240.448</v>
      </c>
      <c r="AT8" s="84" t="n">
        <f aca="false">J8+($O$1-O8)-R8+AN8-(AN8-Q8)*(SIN(S8*PI()/180))-L8</f>
        <v>56.28</v>
      </c>
      <c r="AU8" s="69"/>
      <c r="AV8" s="79"/>
      <c r="AW8" s="93" t="n">
        <f aca="false">AQ8-'Estacas Hurd'!AQ8</f>
        <v>-0.25</v>
      </c>
      <c r="AX8" s="80"/>
    </row>
    <row r="9" customFormat="false" ht="12.75" hidden="false" customHeight="true" outlineLevel="0" collapsed="false">
      <c r="A9" s="69" t="s">
        <v>115</v>
      </c>
      <c r="B9" s="69"/>
      <c r="C9" s="69"/>
      <c r="D9" s="69"/>
      <c r="E9" s="61"/>
      <c r="F9" s="81"/>
      <c r="G9" s="69"/>
      <c r="H9" s="74"/>
      <c r="I9" s="74"/>
      <c r="J9" s="74"/>
      <c r="K9" s="133"/>
      <c r="L9" s="84"/>
      <c r="M9" s="85"/>
      <c r="N9" s="85"/>
      <c r="O9" s="85"/>
      <c r="P9" s="95"/>
      <c r="Q9" s="72"/>
      <c r="R9" s="73"/>
      <c r="S9" s="90" t="n">
        <v>90</v>
      </c>
      <c r="T9" s="80"/>
      <c r="U9" s="74"/>
      <c r="V9" s="74"/>
      <c r="W9" s="74"/>
      <c r="X9" s="74"/>
      <c r="Y9" s="74"/>
      <c r="Z9" s="74"/>
      <c r="AA9" s="74"/>
      <c r="AB9" s="74"/>
      <c r="AC9" s="74"/>
      <c r="AD9" s="74"/>
      <c r="AE9" s="74"/>
      <c r="AF9" s="74"/>
      <c r="AG9" s="74"/>
      <c r="AH9" s="74"/>
      <c r="AI9" s="74"/>
      <c r="AJ9" s="74"/>
      <c r="AK9" s="74"/>
      <c r="AL9" s="74"/>
      <c r="AM9" s="134" t="e">
        <f aca="false">AVERAGE(U9:AC9)</f>
        <v>#DIV/0!</v>
      </c>
      <c r="AN9" s="92" t="n">
        <v>3.67</v>
      </c>
      <c r="AP9" s="75"/>
      <c r="AQ9" s="73" t="n">
        <f aca="false">AN9-(AN9-Q9)*(SIN((S9+AX9)*PI()/180))/(COS(AX9*PI()/180))</f>
        <v>0</v>
      </c>
      <c r="AR9" s="84" t="n">
        <f aca="false">H9+($M$1-M9)-(AN9-Q9)*(COS(S9*PI()/180))*(SIN((T9+13+2.3)*PI()/180))</f>
        <v>633905.233</v>
      </c>
      <c r="AS9" s="84" t="n">
        <f aca="false">I9+($N$1-N9)-(AN9-Q9)*(COS(S9*PI()/180))*(COS((T9+13+2.3)*PI()/180))</f>
        <v>3049240.448</v>
      </c>
      <c r="AT9" s="84" t="n">
        <f aca="false">J9+($O$1-O9)-R9+AN9-(AN9-Q9)*(SIN(S9*PI()/180))-L9</f>
        <v>56.28</v>
      </c>
      <c r="AU9" s="69"/>
      <c r="AV9" s="79"/>
      <c r="AW9" s="93" t="n">
        <f aca="false">AQ9-'Estacas Hurd'!AQ9</f>
        <v>-1.45</v>
      </c>
      <c r="AX9" s="80"/>
    </row>
    <row r="10" customFormat="false" ht="12.75" hidden="false" customHeight="true" outlineLevel="0" collapsed="false">
      <c r="A10" s="69" t="s">
        <v>116</v>
      </c>
      <c r="B10" s="69"/>
      <c r="C10" s="69"/>
      <c r="D10" s="69"/>
      <c r="E10" s="61"/>
      <c r="F10" s="81"/>
      <c r="G10" s="69"/>
      <c r="H10" s="85"/>
      <c r="I10" s="85"/>
      <c r="J10" s="85"/>
      <c r="K10" s="133"/>
      <c r="L10" s="84"/>
      <c r="M10" s="85"/>
      <c r="N10" s="85"/>
      <c r="O10" s="85"/>
      <c r="P10" s="95"/>
      <c r="Q10" s="72"/>
      <c r="R10" s="73"/>
      <c r="S10" s="90" t="n">
        <v>90</v>
      </c>
      <c r="T10" s="80"/>
      <c r="U10" s="74"/>
      <c r="V10" s="74"/>
      <c r="W10" s="74"/>
      <c r="X10" s="74"/>
      <c r="Y10" s="74"/>
      <c r="Z10" s="74"/>
      <c r="AA10" s="74"/>
      <c r="AB10" s="74"/>
      <c r="AC10" s="74"/>
      <c r="AD10" s="74"/>
      <c r="AE10" s="74"/>
      <c r="AF10" s="74"/>
      <c r="AG10" s="74"/>
      <c r="AH10" s="74"/>
      <c r="AI10" s="74"/>
      <c r="AJ10" s="74"/>
      <c r="AK10" s="74"/>
      <c r="AL10" s="74"/>
      <c r="AM10" s="134" t="e">
        <f aca="false">AVERAGE(U10:AC10)</f>
        <v>#DIV/0!</v>
      </c>
      <c r="AN10" s="92" t="n">
        <v>3.67</v>
      </c>
      <c r="AP10" s="75"/>
      <c r="AQ10" s="73" t="n">
        <f aca="false">AN10-(AN10-Q10)*(SIN((S10+AX10)*PI()/180))/(COS(AX10*PI()/180))</f>
        <v>0</v>
      </c>
      <c r="AR10" s="84" t="n">
        <f aca="false">H10+($M$1-M10)-(AN10-Q10)*(COS(S10*PI()/180))*(SIN((T10+13+2.3)*PI()/180))</f>
        <v>633905.233</v>
      </c>
      <c r="AS10" s="84" t="n">
        <f aca="false">I10+($N$1-N10)-(AN10-Q10)*(COS(S10*PI()/180))*(COS((T10+13+2.3)*PI()/180))</f>
        <v>3049240.448</v>
      </c>
      <c r="AT10" s="84" t="n">
        <f aca="false">J10+($O$1-O10)-R10+AN10-(AN10-Q10)*(SIN(S10*PI()/180))-L10</f>
        <v>56.28</v>
      </c>
      <c r="AU10" s="69"/>
      <c r="AV10" s="79"/>
      <c r="AW10" s="93" t="n">
        <f aca="false">AQ10-'Estacas Hurd'!AQ10</f>
        <v>-0.93</v>
      </c>
      <c r="AX10" s="80"/>
    </row>
    <row r="11" customFormat="false" ht="12.75" hidden="false" customHeight="true" outlineLevel="0" collapsed="false">
      <c r="A11" s="96" t="s">
        <v>117</v>
      </c>
      <c r="B11" s="96"/>
      <c r="C11" s="96"/>
      <c r="D11" s="96"/>
      <c r="E11" s="111"/>
      <c r="F11" s="135"/>
      <c r="G11" s="96"/>
      <c r="H11" s="97"/>
      <c r="I11" s="97"/>
      <c r="J11" s="97"/>
      <c r="K11" s="98"/>
      <c r="L11" s="99"/>
      <c r="M11" s="101"/>
      <c r="N11" s="101"/>
      <c r="O11" s="101"/>
      <c r="P11" s="102"/>
      <c r="Q11" s="103"/>
      <c r="R11" s="104"/>
      <c r="S11" s="105"/>
      <c r="T11" s="105"/>
      <c r="U11" s="97"/>
      <c r="V11" s="97"/>
      <c r="W11" s="97"/>
      <c r="X11" s="97"/>
      <c r="Y11" s="97"/>
      <c r="Z11" s="97"/>
      <c r="AA11" s="97"/>
      <c r="AB11" s="97"/>
      <c r="AC11" s="97"/>
      <c r="AD11" s="97"/>
      <c r="AE11" s="97"/>
      <c r="AF11" s="97"/>
      <c r="AG11" s="97"/>
      <c r="AH11" s="97"/>
      <c r="AI11" s="97"/>
      <c r="AJ11" s="97"/>
      <c r="AK11" s="97"/>
      <c r="AL11" s="97"/>
      <c r="AM11" s="97"/>
      <c r="AN11" s="107"/>
      <c r="AO11" s="136"/>
      <c r="AP11" s="109"/>
      <c r="AQ11" s="104"/>
      <c r="AR11" s="99"/>
      <c r="AS11" s="99"/>
      <c r="AT11" s="99"/>
      <c r="AU11" s="96"/>
      <c r="AV11" s="110"/>
      <c r="AW11" s="137"/>
      <c r="AX11" s="105"/>
    </row>
    <row r="12" customFormat="false" ht="12.75" hidden="false" customHeight="true" outlineLevel="0" collapsed="false">
      <c r="A12" s="96" t="s">
        <v>118</v>
      </c>
      <c r="B12" s="96"/>
      <c r="C12" s="96"/>
      <c r="D12" s="96"/>
      <c r="E12" s="111"/>
      <c r="F12" s="135"/>
      <c r="G12" s="96"/>
      <c r="H12" s="97"/>
      <c r="I12" s="97"/>
      <c r="J12" s="97"/>
      <c r="K12" s="98"/>
      <c r="L12" s="99"/>
      <c r="M12" s="101"/>
      <c r="N12" s="101"/>
      <c r="O12" s="101"/>
      <c r="P12" s="102"/>
      <c r="Q12" s="103"/>
      <c r="R12" s="104"/>
      <c r="S12" s="105"/>
      <c r="T12" s="105"/>
      <c r="U12" s="97"/>
      <c r="V12" s="97"/>
      <c r="W12" s="97"/>
      <c r="X12" s="97"/>
      <c r="Y12" s="97"/>
      <c r="Z12" s="97"/>
      <c r="AA12" s="97"/>
      <c r="AB12" s="97"/>
      <c r="AC12" s="97"/>
      <c r="AD12" s="97"/>
      <c r="AE12" s="97"/>
      <c r="AF12" s="97"/>
      <c r="AG12" s="97"/>
      <c r="AH12" s="97"/>
      <c r="AI12" s="97"/>
      <c r="AJ12" s="97"/>
      <c r="AK12" s="97"/>
      <c r="AL12" s="97"/>
      <c r="AM12" s="97"/>
      <c r="AN12" s="107"/>
      <c r="AO12" s="136"/>
      <c r="AP12" s="109"/>
      <c r="AQ12" s="104"/>
      <c r="AR12" s="99"/>
      <c r="AS12" s="99"/>
      <c r="AT12" s="99"/>
      <c r="AU12" s="96"/>
      <c r="AV12" s="110"/>
      <c r="AW12" s="137"/>
      <c r="AX12" s="105"/>
    </row>
    <row r="13" customFormat="false" ht="12.75" hidden="false" customHeight="true" outlineLevel="0" collapsed="false">
      <c r="A13" s="96" t="s">
        <v>119</v>
      </c>
      <c r="B13" s="96"/>
      <c r="C13" s="96"/>
      <c r="D13" s="96"/>
      <c r="E13" s="111"/>
      <c r="F13" s="135"/>
      <c r="G13" s="96"/>
      <c r="H13" s="97"/>
      <c r="I13" s="97"/>
      <c r="J13" s="97"/>
      <c r="K13" s="98"/>
      <c r="L13" s="99"/>
      <c r="M13" s="101"/>
      <c r="N13" s="101"/>
      <c r="O13" s="101"/>
      <c r="P13" s="102"/>
      <c r="Q13" s="103"/>
      <c r="R13" s="104"/>
      <c r="S13" s="105"/>
      <c r="T13" s="105"/>
      <c r="U13" s="97"/>
      <c r="V13" s="97"/>
      <c r="W13" s="97"/>
      <c r="X13" s="97"/>
      <c r="Y13" s="97"/>
      <c r="Z13" s="97"/>
      <c r="AA13" s="97"/>
      <c r="AB13" s="97"/>
      <c r="AC13" s="97"/>
      <c r="AD13" s="97"/>
      <c r="AE13" s="97"/>
      <c r="AF13" s="97"/>
      <c r="AG13" s="97"/>
      <c r="AH13" s="97"/>
      <c r="AI13" s="97"/>
      <c r="AJ13" s="97"/>
      <c r="AK13" s="97"/>
      <c r="AL13" s="97"/>
      <c r="AM13" s="97"/>
      <c r="AN13" s="107"/>
      <c r="AO13" s="136"/>
      <c r="AP13" s="109"/>
      <c r="AQ13" s="104"/>
      <c r="AR13" s="99"/>
      <c r="AS13" s="99"/>
      <c r="AT13" s="99"/>
      <c r="AU13" s="96"/>
      <c r="AV13" s="110"/>
      <c r="AW13" s="137"/>
      <c r="AX13" s="105"/>
    </row>
    <row r="14" customFormat="false" ht="12.75" hidden="false" customHeight="true" outlineLevel="0" collapsed="false">
      <c r="A14" s="69" t="s">
        <v>120</v>
      </c>
      <c r="B14" s="69"/>
      <c r="C14" s="69"/>
      <c r="D14" s="69"/>
      <c r="E14" s="61"/>
      <c r="F14" s="81"/>
      <c r="G14" s="69"/>
      <c r="H14" s="85"/>
      <c r="I14" s="85"/>
      <c r="J14" s="85"/>
      <c r="K14" s="133"/>
      <c r="L14" s="84"/>
      <c r="M14" s="85"/>
      <c r="N14" s="85"/>
      <c r="O14" s="85"/>
      <c r="P14" s="95"/>
      <c r="Q14" s="72"/>
      <c r="R14" s="73"/>
      <c r="S14" s="90" t="n">
        <v>90</v>
      </c>
      <c r="T14" s="80"/>
      <c r="U14" s="74"/>
      <c r="V14" s="74"/>
      <c r="W14" s="74"/>
      <c r="X14" s="74"/>
      <c r="Y14" s="74"/>
      <c r="Z14" s="74"/>
      <c r="AA14" s="74"/>
      <c r="AB14" s="74"/>
      <c r="AC14" s="74"/>
      <c r="AD14" s="74"/>
      <c r="AE14" s="74"/>
      <c r="AF14" s="74"/>
      <c r="AG14" s="74"/>
      <c r="AH14" s="74"/>
      <c r="AI14" s="74"/>
      <c r="AJ14" s="74"/>
      <c r="AK14" s="74"/>
      <c r="AL14" s="74"/>
      <c r="AM14" s="134" t="e">
        <f aca="false">AVERAGE(U14:AC14)</f>
        <v>#DIV/0!</v>
      </c>
      <c r="AN14" s="92" t="n">
        <v>3.67</v>
      </c>
      <c r="AP14" s="75"/>
      <c r="AQ14" s="73" t="n">
        <f aca="false">AN14-(AN14-Q14)*(SIN((S14+AX14)*PI()/180))/(COS(AX14*PI()/180))</f>
        <v>0</v>
      </c>
      <c r="AR14" s="84" t="n">
        <f aca="false">H14+($M$1-M14)-(AN14-Q14)*(COS(S14*PI()/180))*(SIN((T14+13+2.3)*PI()/180))</f>
        <v>633905.233</v>
      </c>
      <c r="AS14" s="84" t="n">
        <f aca="false">I14+($N$1-N14)-(AN14-Q14)*(COS(S14*PI()/180))*(COS((T14+13+2.3)*PI()/180))</f>
        <v>3049240.448</v>
      </c>
      <c r="AT14" s="84" t="n">
        <f aca="false">J14+($O$1-O14)-R14+AN14-(AN14-Q14)*(SIN(S14*PI()/180))-L14</f>
        <v>56.28</v>
      </c>
      <c r="AU14" s="69"/>
      <c r="AV14" s="79"/>
      <c r="AW14" s="93" t="n">
        <f aca="false">AQ14-'Estacas Hurd'!AQ14</f>
        <v>-0.44</v>
      </c>
      <c r="AX14" s="80"/>
    </row>
    <row r="15" customFormat="false" ht="12.75" hidden="false" customHeight="true" outlineLevel="0" collapsed="false">
      <c r="A15" s="69" t="s">
        <v>121</v>
      </c>
      <c r="B15" s="69"/>
      <c r="C15" s="69"/>
      <c r="D15" s="69"/>
      <c r="E15" s="61"/>
      <c r="F15" s="81"/>
      <c r="G15" s="69"/>
      <c r="H15" s="85"/>
      <c r="I15" s="85"/>
      <c r="J15" s="85"/>
      <c r="K15" s="133"/>
      <c r="L15" s="84"/>
      <c r="M15" s="85"/>
      <c r="N15" s="85"/>
      <c r="O15" s="85"/>
      <c r="P15" s="95"/>
      <c r="Q15" s="72"/>
      <c r="R15" s="73"/>
      <c r="S15" s="90" t="n">
        <v>90</v>
      </c>
      <c r="T15" s="80"/>
      <c r="U15" s="74"/>
      <c r="V15" s="74"/>
      <c r="W15" s="74"/>
      <c r="X15" s="74"/>
      <c r="Y15" s="74"/>
      <c r="Z15" s="74"/>
      <c r="AA15" s="74"/>
      <c r="AB15" s="74"/>
      <c r="AC15" s="74"/>
      <c r="AD15" s="74"/>
      <c r="AE15" s="74"/>
      <c r="AF15" s="74"/>
      <c r="AG15" s="74"/>
      <c r="AH15" s="74"/>
      <c r="AI15" s="74"/>
      <c r="AJ15" s="74"/>
      <c r="AK15" s="74"/>
      <c r="AL15" s="74"/>
      <c r="AM15" s="134" t="e">
        <f aca="false">AVERAGE(U15:AC15)</f>
        <v>#DIV/0!</v>
      </c>
      <c r="AN15" s="92" t="n">
        <v>3.67</v>
      </c>
      <c r="AP15" s="75"/>
      <c r="AQ15" s="73" t="n">
        <f aca="false">AN15-(AN15-Q15)*(SIN((S15+AX15)*PI()/180))/(COS(AX15*PI()/180))</f>
        <v>0</v>
      </c>
      <c r="AR15" s="84" t="n">
        <f aca="false">H15+($M$1-M15)-(AN15-Q15)*(COS(S15*PI()/180))*(SIN((T15+13+2.3)*PI()/180))</f>
        <v>633905.233</v>
      </c>
      <c r="AS15" s="84" t="n">
        <f aca="false">I15+($N$1-N15)-(AN15-Q15)*(COS(S15*PI()/180))*(COS((T15+13+2.3)*PI()/180))</f>
        <v>3049240.448</v>
      </c>
      <c r="AT15" s="84" t="n">
        <f aca="false">J15+($O$1-O15)-R15+AN15-(AN15-Q15)*(SIN(S15*PI()/180))-L15</f>
        <v>56.28</v>
      </c>
      <c r="AU15" s="69"/>
      <c r="AV15" s="79"/>
      <c r="AW15" s="93" t="n">
        <f aca="false">AQ15-'Estacas Hurd'!AQ15</f>
        <v>-1.67</v>
      </c>
      <c r="AX15" s="80"/>
    </row>
    <row r="16" customFormat="false" ht="12.75" hidden="false" customHeight="true" outlineLevel="0" collapsed="false">
      <c r="A16" s="96" t="s">
        <v>124</v>
      </c>
      <c r="B16" s="96"/>
      <c r="C16" s="96"/>
      <c r="D16" s="96"/>
      <c r="E16" s="111"/>
      <c r="F16" s="135"/>
      <c r="G16" s="96"/>
      <c r="H16" s="97"/>
      <c r="I16" s="97"/>
      <c r="J16" s="97"/>
      <c r="K16" s="98"/>
      <c r="L16" s="99"/>
      <c r="M16" s="101"/>
      <c r="N16" s="101"/>
      <c r="O16" s="101"/>
      <c r="P16" s="102"/>
      <c r="Q16" s="103"/>
      <c r="R16" s="104"/>
      <c r="S16" s="105"/>
      <c r="T16" s="105"/>
      <c r="U16" s="97"/>
      <c r="V16" s="97"/>
      <c r="W16" s="97"/>
      <c r="X16" s="97"/>
      <c r="Y16" s="97"/>
      <c r="Z16" s="97"/>
      <c r="AA16" s="97"/>
      <c r="AB16" s="97"/>
      <c r="AC16" s="97"/>
      <c r="AD16" s="97"/>
      <c r="AE16" s="97"/>
      <c r="AF16" s="97"/>
      <c r="AG16" s="97"/>
      <c r="AH16" s="97"/>
      <c r="AI16" s="97"/>
      <c r="AJ16" s="97"/>
      <c r="AK16" s="97"/>
      <c r="AL16" s="97"/>
      <c r="AM16" s="97"/>
      <c r="AN16" s="107"/>
      <c r="AO16" s="136"/>
      <c r="AP16" s="109"/>
      <c r="AQ16" s="104"/>
      <c r="AR16" s="99"/>
      <c r="AS16" s="99"/>
      <c r="AT16" s="99"/>
      <c r="AU16" s="96"/>
      <c r="AV16" s="110"/>
      <c r="AW16" s="137"/>
      <c r="AX16" s="96"/>
    </row>
    <row r="17" customFormat="false" ht="12.75" hidden="false" customHeight="true" outlineLevel="0" collapsed="false">
      <c r="A17" s="96" t="s">
        <v>125</v>
      </c>
      <c r="B17" s="96"/>
      <c r="C17" s="96"/>
      <c r="D17" s="96"/>
      <c r="E17" s="111"/>
      <c r="F17" s="135"/>
      <c r="G17" s="96"/>
      <c r="H17" s="97"/>
      <c r="I17" s="97"/>
      <c r="J17" s="97"/>
      <c r="K17" s="98"/>
      <c r="L17" s="99"/>
      <c r="M17" s="101"/>
      <c r="N17" s="101"/>
      <c r="O17" s="101"/>
      <c r="P17" s="102"/>
      <c r="Q17" s="103"/>
      <c r="R17" s="104"/>
      <c r="S17" s="105"/>
      <c r="T17" s="105"/>
      <c r="U17" s="97"/>
      <c r="V17" s="97"/>
      <c r="W17" s="97"/>
      <c r="X17" s="97"/>
      <c r="Y17" s="97"/>
      <c r="Z17" s="97"/>
      <c r="AA17" s="97"/>
      <c r="AB17" s="97"/>
      <c r="AC17" s="97"/>
      <c r="AD17" s="97"/>
      <c r="AE17" s="97"/>
      <c r="AF17" s="97"/>
      <c r="AG17" s="97"/>
      <c r="AH17" s="97"/>
      <c r="AI17" s="97"/>
      <c r="AJ17" s="97"/>
      <c r="AK17" s="97"/>
      <c r="AL17" s="97"/>
      <c r="AM17" s="97"/>
      <c r="AN17" s="107"/>
      <c r="AO17" s="136"/>
      <c r="AP17" s="109"/>
      <c r="AQ17" s="104"/>
      <c r="AR17" s="99"/>
      <c r="AS17" s="99"/>
      <c r="AT17" s="99"/>
      <c r="AU17" s="96"/>
      <c r="AV17" s="110"/>
      <c r="AW17" s="137"/>
      <c r="AX17" s="96"/>
    </row>
    <row r="18" customFormat="false" ht="12.75" hidden="false" customHeight="true" outlineLevel="0" collapsed="false">
      <c r="A18" s="96" t="s">
        <v>126</v>
      </c>
      <c r="B18" s="96"/>
      <c r="C18" s="96"/>
      <c r="D18" s="96"/>
      <c r="E18" s="111"/>
      <c r="F18" s="135"/>
      <c r="G18" s="96"/>
      <c r="H18" s="97"/>
      <c r="I18" s="97"/>
      <c r="J18" s="97"/>
      <c r="K18" s="98"/>
      <c r="L18" s="99"/>
      <c r="M18" s="101"/>
      <c r="N18" s="101"/>
      <c r="O18" s="101"/>
      <c r="P18" s="102"/>
      <c r="Q18" s="103"/>
      <c r="R18" s="104"/>
      <c r="S18" s="105"/>
      <c r="T18" s="105"/>
      <c r="U18" s="97"/>
      <c r="V18" s="97"/>
      <c r="W18" s="97"/>
      <c r="X18" s="97"/>
      <c r="Y18" s="97"/>
      <c r="Z18" s="97"/>
      <c r="AA18" s="97"/>
      <c r="AB18" s="97"/>
      <c r="AC18" s="97"/>
      <c r="AD18" s="97"/>
      <c r="AE18" s="97"/>
      <c r="AF18" s="97"/>
      <c r="AG18" s="97"/>
      <c r="AH18" s="97"/>
      <c r="AI18" s="97"/>
      <c r="AJ18" s="97"/>
      <c r="AK18" s="97"/>
      <c r="AL18" s="97"/>
      <c r="AM18" s="97"/>
      <c r="AN18" s="107"/>
      <c r="AO18" s="136"/>
      <c r="AP18" s="109"/>
      <c r="AQ18" s="104"/>
      <c r="AR18" s="99"/>
      <c r="AS18" s="99"/>
      <c r="AT18" s="99"/>
      <c r="AU18" s="96"/>
      <c r="AV18" s="110"/>
      <c r="AW18" s="137"/>
      <c r="AX18" s="96"/>
    </row>
    <row r="19" customFormat="false" ht="12.75" hidden="false" customHeight="true" outlineLevel="0" collapsed="false">
      <c r="A19" s="96" t="s">
        <v>127</v>
      </c>
      <c r="B19" s="96"/>
      <c r="C19" s="96"/>
      <c r="D19" s="96"/>
      <c r="E19" s="111"/>
      <c r="F19" s="135"/>
      <c r="G19" s="96"/>
      <c r="H19" s="97"/>
      <c r="I19" s="97"/>
      <c r="J19" s="97"/>
      <c r="K19" s="98"/>
      <c r="L19" s="99"/>
      <c r="M19" s="101"/>
      <c r="N19" s="101"/>
      <c r="O19" s="101"/>
      <c r="P19" s="102"/>
      <c r="Q19" s="103"/>
      <c r="R19" s="104"/>
      <c r="S19" s="105"/>
      <c r="T19" s="105"/>
      <c r="U19" s="97"/>
      <c r="V19" s="97"/>
      <c r="W19" s="97"/>
      <c r="X19" s="97"/>
      <c r="Y19" s="97"/>
      <c r="Z19" s="97"/>
      <c r="AA19" s="97"/>
      <c r="AB19" s="97"/>
      <c r="AC19" s="97"/>
      <c r="AD19" s="97"/>
      <c r="AE19" s="97"/>
      <c r="AF19" s="97"/>
      <c r="AG19" s="97"/>
      <c r="AH19" s="97"/>
      <c r="AI19" s="97"/>
      <c r="AJ19" s="97"/>
      <c r="AK19" s="97"/>
      <c r="AL19" s="97"/>
      <c r="AM19" s="97"/>
      <c r="AN19" s="107"/>
      <c r="AO19" s="136"/>
      <c r="AP19" s="109"/>
      <c r="AQ19" s="104"/>
      <c r="AR19" s="99"/>
      <c r="AS19" s="99"/>
      <c r="AT19" s="99"/>
      <c r="AU19" s="96"/>
      <c r="AV19" s="110"/>
      <c r="AW19" s="137"/>
      <c r="AX19" s="105"/>
    </row>
    <row r="20" customFormat="false" ht="12.75" hidden="false" customHeight="true" outlineLevel="0" collapsed="false">
      <c r="A20" s="96" t="s">
        <v>128</v>
      </c>
      <c r="B20" s="96"/>
      <c r="C20" s="96"/>
      <c r="D20" s="96"/>
      <c r="E20" s="111"/>
      <c r="F20" s="135"/>
      <c r="G20" s="96"/>
      <c r="H20" s="97"/>
      <c r="I20" s="97"/>
      <c r="J20" s="97"/>
      <c r="K20" s="98"/>
      <c r="L20" s="99"/>
      <c r="M20" s="101"/>
      <c r="N20" s="101"/>
      <c r="O20" s="101"/>
      <c r="P20" s="102"/>
      <c r="Q20" s="103"/>
      <c r="R20" s="104"/>
      <c r="S20" s="105"/>
      <c r="T20" s="105"/>
      <c r="U20" s="97"/>
      <c r="V20" s="97"/>
      <c r="W20" s="97"/>
      <c r="X20" s="97"/>
      <c r="Y20" s="97"/>
      <c r="Z20" s="97"/>
      <c r="AA20" s="97"/>
      <c r="AB20" s="97"/>
      <c r="AC20" s="97"/>
      <c r="AD20" s="97"/>
      <c r="AE20" s="97"/>
      <c r="AF20" s="97"/>
      <c r="AG20" s="97"/>
      <c r="AH20" s="97"/>
      <c r="AI20" s="97"/>
      <c r="AJ20" s="97"/>
      <c r="AK20" s="97"/>
      <c r="AL20" s="97"/>
      <c r="AM20" s="97"/>
      <c r="AN20" s="107"/>
      <c r="AO20" s="136"/>
      <c r="AP20" s="109"/>
      <c r="AQ20" s="104"/>
      <c r="AR20" s="99"/>
      <c r="AS20" s="99"/>
      <c r="AT20" s="99"/>
      <c r="AU20" s="96"/>
      <c r="AV20" s="110"/>
      <c r="AW20" s="137"/>
      <c r="AX20" s="105"/>
    </row>
    <row r="21" customFormat="false" ht="12.75" hidden="false" customHeight="true" outlineLevel="0" collapsed="false">
      <c r="A21" s="96" t="s">
        <v>129</v>
      </c>
      <c r="B21" s="96"/>
      <c r="C21" s="96"/>
      <c r="D21" s="96"/>
      <c r="E21" s="111"/>
      <c r="F21" s="135"/>
      <c r="G21" s="96"/>
      <c r="H21" s="97"/>
      <c r="I21" s="97"/>
      <c r="J21" s="97"/>
      <c r="K21" s="98"/>
      <c r="L21" s="99"/>
      <c r="M21" s="101"/>
      <c r="N21" s="101"/>
      <c r="O21" s="101"/>
      <c r="P21" s="102"/>
      <c r="Q21" s="103"/>
      <c r="R21" s="104"/>
      <c r="S21" s="105"/>
      <c r="T21" s="105"/>
      <c r="U21" s="97"/>
      <c r="V21" s="97"/>
      <c r="W21" s="97"/>
      <c r="X21" s="97"/>
      <c r="Y21" s="97"/>
      <c r="Z21" s="97"/>
      <c r="AA21" s="97"/>
      <c r="AB21" s="97"/>
      <c r="AC21" s="97"/>
      <c r="AD21" s="97"/>
      <c r="AE21" s="97"/>
      <c r="AF21" s="97"/>
      <c r="AG21" s="97"/>
      <c r="AH21" s="97"/>
      <c r="AI21" s="97"/>
      <c r="AJ21" s="97"/>
      <c r="AK21" s="97"/>
      <c r="AL21" s="97"/>
      <c r="AM21" s="97"/>
      <c r="AN21" s="107"/>
      <c r="AO21" s="136"/>
      <c r="AP21" s="109"/>
      <c r="AQ21" s="104"/>
      <c r="AR21" s="99"/>
      <c r="AS21" s="99"/>
      <c r="AT21" s="99"/>
      <c r="AU21" s="96"/>
      <c r="AV21" s="110"/>
      <c r="AW21" s="137"/>
      <c r="AX21" s="105"/>
    </row>
    <row r="22" customFormat="false" ht="12.75" hidden="false" customHeight="true" outlineLevel="0" collapsed="false">
      <c r="A22" s="96" t="s">
        <v>130</v>
      </c>
      <c r="B22" s="96"/>
      <c r="C22" s="96"/>
      <c r="D22" s="96"/>
      <c r="E22" s="111"/>
      <c r="F22" s="135"/>
      <c r="G22" s="96"/>
      <c r="H22" s="97"/>
      <c r="I22" s="97"/>
      <c r="J22" s="97"/>
      <c r="K22" s="98"/>
      <c r="L22" s="99"/>
      <c r="M22" s="101"/>
      <c r="N22" s="101"/>
      <c r="O22" s="101"/>
      <c r="P22" s="102"/>
      <c r="Q22" s="103"/>
      <c r="R22" s="104"/>
      <c r="S22" s="105"/>
      <c r="T22" s="105"/>
      <c r="U22" s="97"/>
      <c r="V22" s="97"/>
      <c r="W22" s="97"/>
      <c r="X22" s="97"/>
      <c r="Y22" s="97"/>
      <c r="Z22" s="97"/>
      <c r="AA22" s="97"/>
      <c r="AB22" s="97"/>
      <c r="AC22" s="97"/>
      <c r="AD22" s="97"/>
      <c r="AE22" s="97"/>
      <c r="AF22" s="97"/>
      <c r="AG22" s="97"/>
      <c r="AH22" s="97"/>
      <c r="AI22" s="97"/>
      <c r="AJ22" s="97"/>
      <c r="AK22" s="97"/>
      <c r="AL22" s="97"/>
      <c r="AM22" s="97"/>
      <c r="AN22" s="107"/>
      <c r="AO22" s="136"/>
      <c r="AP22" s="109"/>
      <c r="AQ22" s="104"/>
      <c r="AR22" s="99"/>
      <c r="AS22" s="99"/>
      <c r="AT22" s="99"/>
      <c r="AU22" s="96"/>
      <c r="AV22" s="110"/>
      <c r="AW22" s="137"/>
      <c r="AX22" s="105"/>
    </row>
    <row r="23" customFormat="false" ht="12.75" hidden="false" customHeight="true" outlineLevel="0" collapsed="false">
      <c r="A23" s="96" t="s">
        <v>131</v>
      </c>
      <c r="B23" s="96"/>
      <c r="C23" s="96"/>
      <c r="D23" s="96"/>
      <c r="E23" s="111"/>
      <c r="F23" s="135"/>
      <c r="G23" s="96"/>
      <c r="H23" s="97"/>
      <c r="I23" s="97"/>
      <c r="J23" s="97"/>
      <c r="K23" s="98"/>
      <c r="L23" s="99"/>
      <c r="M23" s="101"/>
      <c r="N23" s="101"/>
      <c r="O23" s="101"/>
      <c r="P23" s="102"/>
      <c r="Q23" s="103"/>
      <c r="R23" s="104"/>
      <c r="S23" s="105"/>
      <c r="T23" s="105"/>
      <c r="U23" s="97"/>
      <c r="V23" s="97"/>
      <c r="W23" s="97"/>
      <c r="X23" s="97"/>
      <c r="Y23" s="97"/>
      <c r="Z23" s="97"/>
      <c r="AA23" s="97"/>
      <c r="AB23" s="97"/>
      <c r="AC23" s="97"/>
      <c r="AD23" s="97"/>
      <c r="AE23" s="97"/>
      <c r="AF23" s="97"/>
      <c r="AG23" s="97"/>
      <c r="AH23" s="97"/>
      <c r="AI23" s="97"/>
      <c r="AJ23" s="97"/>
      <c r="AK23" s="97"/>
      <c r="AL23" s="97"/>
      <c r="AM23" s="97"/>
      <c r="AN23" s="107"/>
      <c r="AO23" s="136"/>
      <c r="AP23" s="109"/>
      <c r="AQ23" s="104"/>
      <c r="AR23" s="99"/>
      <c r="AS23" s="99"/>
      <c r="AT23" s="99"/>
      <c r="AU23" s="96"/>
      <c r="AV23" s="110"/>
      <c r="AW23" s="137"/>
      <c r="AX23" s="105"/>
    </row>
    <row r="24" customFormat="false" ht="12.75" hidden="false" customHeight="true" outlineLevel="0" collapsed="false">
      <c r="A24" s="69" t="s">
        <v>132</v>
      </c>
      <c r="B24" s="69"/>
      <c r="C24" s="69"/>
      <c r="D24" s="69"/>
      <c r="E24" s="61"/>
      <c r="F24" s="81"/>
      <c r="G24" s="69"/>
      <c r="H24" s="85"/>
      <c r="I24" s="85"/>
      <c r="J24" s="85"/>
      <c r="K24" s="133"/>
      <c r="L24" s="84"/>
      <c r="M24" s="85"/>
      <c r="N24" s="85"/>
      <c r="O24" s="85"/>
      <c r="P24" s="95"/>
      <c r="Q24" s="72"/>
      <c r="R24" s="73"/>
      <c r="S24" s="90" t="n">
        <v>90</v>
      </c>
      <c r="T24" s="80"/>
      <c r="U24" s="74"/>
      <c r="V24" s="74"/>
      <c r="W24" s="74"/>
      <c r="X24" s="74"/>
      <c r="Y24" s="74"/>
      <c r="Z24" s="74"/>
      <c r="AA24" s="74"/>
      <c r="AB24" s="74"/>
      <c r="AC24" s="74"/>
      <c r="AD24" s="74"/>
      <c r="AE24" s="74"/>
      <c r="AF24" s="74"/>
      <c r="AG24" s="74"/>
      <c r="AH24" s="74"/>
      <c r="AI24" s="74"/>
      <c r="AJ24" s="74"/>
      <c r="AK24" s="74"/>
      <c r="AL24" s="74"/>
      <c r="AM24" s="134" t="e">
        <f aca="false">AVERAGE(U24:AC24)</f>
        <v>#DIV/0!</v>
      </c>
      <c r="AN24" s="92" t="n">
        <v>3.67</v>
      </c>
      <c r="AP24" s="75"/>
      <c r="AQ24" s="73" t="n">
        <f aca="false">AN24-(AN24-Q24)*(SIN((S24+AX24)*PI()/180))/(COS(AX24*PI()/180))</f>
        <v>0</v>
      </c>
      <c r="AR24" s="84" t="n">
        <f aca="false">H24+($M$1-M24)-(AN24-Q24)*(COS(S24*PI()/180))*(SIN((T24+13+2.3)*PI()/180))</f>
        <v>633905.233</v>
      </c>
      <c r="AS24" s="84" t="n">
        <f aca="false">I24+($N$1-N24)-(AN24-Q24)*(COS(S24*PI()/180))*(COS((T24+13+2.3)*PI()/180))</f>
        <v>3049240.448</v>
      </c>
      <c r="AT24" s="84" t="n">
        <f aca="false">J24+($O$1-O24)-R24+AN24-(AN24-Q24)*(SIN(S24*PI()/180))-L24</f>
        <v>56.28</v>
      </c>
      <c r="AU24" s="69"/>
      <c r="AV24" s="79"/>
      <c r="AW24" s="93" t="n">
        <f aca="false">AQ24-'Estacas Hurd'!AQ24</f>
        <v>-0.53</v>
      </c>
      <c r="AX24" s="80"/>
    </row>
    <row r="25" customFormat="false" ht="12.75" hidden="false" customHeight="true" outlineLevel="0" collapsed="false">
      <c r="A25" s="96" t="s">
        <v>133</v>
      </c>
      <c r="B25" s="96"/>
      <c r="C25" s="96"/>
      <c r="D25" s="96"/>
      <c r="E25" s="111"/>
      <c r="F25" s="135"/>
      <c r="G25" s="96"/>
      <c r="H25" s="97"/>
      <c r="I25" s="97"/>
      <c r="J25" s="97"/>
      <c r="K25" s="98"/>
      <c r="L25" s="99"/>
      <c r="M25" s="101"/>
      <c r="N25" s="101"/>
      <c r="O25" s="101"/>
      <c r="P25" s="102"/>
      <c r="Q25" s="103"/>
      <c r="R25" s="104"/>
      <c r="S25" s="105"/>
      <c r="T25" s="105"/>
      <c r="U25" s="97"/>
      <c r="V25" s="97"/>
      <c r="W25" s="97"/>
      <c r="X25" s="97"/>
      <c r="Y25" s="97"/>
      <c r="Z25" s="97"/>
      <c r="AA25" s="97"/>
      <c r="AB25" s="97"/>
      <c r="AC25" s="97"/>
      <c r="AD25" s="97"/>
      <c r="AE25" s="97"/>
      <c r="AF25" s="97"/>
      <c r="AG25" s="97"/>
      <c r="AH25" s="97"/>
      <c r="AI25" s="97"/>
      <c r="AJ25" s="97"/>
      <c r="AK25" s="97"/>
      <c r="AL25" s="97"/>
      <c r="AM25" s="97"/>
      <c r="AN25" s="107"/>
      <c r="AO25" s="136"/>
      <c r="AP25" s="109"/>
      <c r="AQ25" s="104"/>
      <c r="AR25" s="99"/>
      <c r="AS25" s="99"/>
      <c r="AT25" s="99"/>
      <c r="AU25" s="96"/>
      <c r="AV25" s="110"/>
      <c r="AW25" s="137"/>
      <c r="AX25" s="105"/>
    </row>
    <row r="26" customFormat="false" ht="12.75" hidden="false" customHeight="true" outlineLevel="0" collapsed="false">
      <c r="A26" s="69" t="s">
        <v>134</v>
      </c>
      <c r="B26" s="69"/>
      <c r="C26" s="69"/>
      <c r="D26" s="69"/>
      <c r="E26" s="61"/>
      <c r="F26" s="81"/>
      <c r="G26" s="69"/>
      <c r="H26" s="85"/>
      <c r="I26" s="85"/>
      <c r="J26" s="85"/>
      <c r="K26" s="133"/>
      <c r="L26" s="84"/>
      <c r="M26" s="85"/>
      <c r="N26" s="85"/>
      <c r="O26" s="85"/>
      <c r="P26" s="95"/>
      <c r="Q26" s="72"/>
      <c r="R26" s="73"/>
      <c r="S26" s="90" t="n">
        <v>90</v>
      </c>
      <c r="T26" s="80"/>
      <c r="U26" s="74"/>
      <c r="V26" s="74"/>
      <c r="W26" s="74"/>
      <c r="X26" s="74"/>
      <c r="Y26" s="74"/>
      <c r="Z26" s="74"/>
      <c r="AA26" s="74"/>
      <c r="AB26" s="74"/>
      <c r="AC26" s="74"/>
      <c r="AD26" s="74"/>
      <c r="AE26" s="74"/>
      <c r="AF26" s="74"/>
      <c r="AG26" s="74"/>
      <c r="AH26" s="74"/>
      <c r="AI26" s="74"/>
      <c r="AJ26" s="93"/>
      <c r="AK26" s="74"/>
      <c r="AL26" s="74"/>
      <c r="AM26" s="134" t="e">
        <f aca="false">AVERAGE(U26:AC26)</f>
        <v>#DIV/0!</v>
      </c>
      <c r="AN26" s="92" t="n">
        <v>3.67</v>
      </c>
      <c r="AP26" s="75"/>
      <c r="AQ26" s="73" t="n">
        <f aca="false">AN26-(AN26-Q26)*(SIN((S26+AX26)*PI()/180))/(COS(AX26*PI()/180))</f>
        <v>0</v>
      </c>
      <c r="AR26" s="84" t="n">
        <f aca="false">H26+($M$1-M26)-(AN26-Q26)*(COS(S26*PI()/180))*(SIN((T26+13+2.3)*PI()/180))</f>
        <v>633905.233</v>
      </c>
      <c r="AS26" s="84" t="n">
        <f aca="false">I26+($N$1-N26)-(AN26-Q26)*(COS(S26*PI()/180))*(COS((T26+13+2.3)*PI()/180))</f>
        <v>3049240.448</v>
      </c>
      <c r="AT26" s="84" t="n">
        <f aca="false">J26+($O$1-O26)-R26+AN26-(AN26-Q26)*(SIN(S26*PI()/180))-L26</f>
        <v>56.28</v>
      </c>
      <c r="AU26" s="69"/>
      <c r="AV26" s="79"/>
      <c r="AW26" s="93" t="n">
        <f aca="false">AQ26-'Estacas Hurd'!AQ26</f>
        <v>-1.17</v>
      </c>
      <c r="AX26" s="80"/>
    </row>
    <row r="27" customFormat="false" ht="12.75" hidden="false" customHeight="true" outlineLevel="0" collapsed="false">
      <c r="A27" s="69" t="s">
        <v>135</v>
      </c>
      <c r="B27" s="69"/>
      <c r="C27" s="69"/>
      <c r="D27" s="69"/>
      <c r="E27" s="61"/>
      <c r="F27" s="81"/>
      <c r="G27" s="69"/>
      <c r="H27" s="74"/>
      <c r="I27" s="74"/>
      <c r="J27" s="74"/>
      <c r="K27" s="133"/>
      <c r="L27" s="84"/>
      <c r="M27" s="85"/>
      <c r="N27" s="85"/>
      <c r="O27" s="85"/>
      <c r="P27" s="95"/>
      <c r="Q27" s="72"/>
      <c r="R27" s="73"/>
      <c r="S27" s="90" t="n">
        <v>90</v>
      </c>
      <c r="T27" s="80"/>
      <c r="U27" s="74"/>
      <c r="V27" s="74"/>
      <c r="W27" s="74"/>
      <c r="X27" s="74"/>
      <c r="Y27" s="74"/>
      <c r="Z27" s="74"/>
      <c r="AA27" s="74"/>
      <c r="AB27" s="74"/>
      <c r="AC27" s="74"/>
      <c r="AD27" s="74"/>
      <c r="AE27" s="74"/>
      <c r="AF27" s="74"/>
      <c r="AG27" s="74"/>
      <c r="AH27" s="74"/>
      <c r="AI27" s="74"/>
      <c r="AJ27" s="74"/>
      <c r="AK27" s="74"/>
      <c r="AL27" s="74"/>
      <c r="AM27" s="134" t="e">
        <f aca="false">AVERAGE(U27:AC27)</f>
        <v>#DIV/0!</v>
      </c>
      <c r="AN27" s="92" t="n">
        <v>3.67</v>
      </c>
      <c r="AP27" s="75"/>
      <c r="AQ27" s="73" t="n">
        <f aca="false">AN27-(AN27-Q27)*(SIN((S27+AX27)*PI()/180))/(COS(AX27*PI()/180))</f>
        <v>0</v>
      </c>
      <c r="AR27" s="84" t="n">
        <f aca="false">H27+($M$1-M27)-(AN27-Q27)*(COS(S27*PI()/180))*(SIN((T27+13+2.3)*PI()/180))</f>
        <v>633905.233</v>
      </c>
      <c r="AS27" s="84" t="n">
        <f aca="false">I27+($N$1-N27)-(AN27-Q27)*(COS(S27*PI()/180))*(COS((T27+13+2.3)*PI()/180))</f>
        <v>3049240.448</v>
      </c>
      <c r="AT27" s="84" t="n">
        <f aca="false">J27+($O$1-O27)-R27+AN27-(AN27-Q27)*(SIN(S27*PI()/180))-L27</f>
        <v>56.28</v>
      </c>
      <c r="AU27" s="69"/>
      <c r="AV27" s="79"/>
      <c r="AW27" s="93" t="n">
        <f aca="false">AQ27-'Estacas Hurd'!AQ27</f>
        <v>-1</v>
      </c>
      <c r="AX27" s="80"/>
    </row>
    <row r="28" customFormat="false" ht="12.75" hidden="false" customHeight="true" outlineLevel="0" collapsed="false">
      <c r="A28" s="96" t="s">
        <v>136</v>
      </c>
      <c r="B28" s="96"/>
      <c r="C28" s="96"/>
      <c r="D28" s="96"/>
      <c r="E28" s="111"/>
      <c r="F28" s="135"/>
      <c r="G28" s="96"/>
      <c r="H28" s="97"/>
      <c r="I28" s="97"/>
      <c r="J28" s="97"/>
      <c r="K28" s="98"/>
      <c r="L28" s="99"/>
      <c r="M28" s="101"/>
      <c r="N28" s="101"/>
      <c r="O28" s="101"/>
      <c r="P28" s="102"/>
      <c r="Q28" s="103"/>
      <c r="R28" s="104"/>
      <c r="S28" s="105"/>
      <c r="T28" s="105"/>
      <c r="U28" s="97"/>
      <c r="V28" s="97"/>
      <c r="W28" s="97"/>
      <c r="X28" s="97"/>
      <c r="Y28" s="97"/>
      <c r="Z28" s="97"/>
      <c r="AA28" s="97"/>
      <c r="AB28" s="97"/>
      <c r="AC28" s="97"/>
      <c r="AD28" s="97"/>
      <c r="AE28" s="97"/>
      <c r="AF28" s="97"/>
      <c r="AG28" s="97"/>
      <c r="AH28" s="97"/>
      <c r="AI28" s="97"/>
      <c r="AJ28" s="97"/>
      <c r="AK28" s="97"/>
      <c r="AL28" s="97"/>
      <c r="AM28" s="97"/>
      <c r="AN28" s="107"/>
      <c r="AO28" s="136"/>
      <c r="AP28" s="109"/>
      <c r="AQ28" s="104"/>
      <c r="AR28" s="99"/>
      <c r="AS28" s="99"/>
      <c r="AT28" s="99"/>
      <c r="AU28" s="96"/>
      <c r="AV28" s="110"/>
      <c r="AW28" s="137"/>
      <c r="AX28" s="105"/>
    </row>
    <row r="29" customFormat="false" ht="12.75" hidden="false" customHeight="true" outlineLevel="0" collapsed="false">
      <c r="A29" s="69" t="s">
        <v>137</v>
      </c>
      <c r="B29" s="69"/>
      <c r="C29" s="69"/>
      <c r="D29" s="69"/>
      <c r="E29" s="61"/>
      <c r="F29" s="81"/>
      <c r="G29" s="69"/>
      <c r="H29" s="74"/>
      <c r="I29" s="74"/>
      <c r="J29" s="74"/>
      <c r="K29" s="133"/>
      <c r="L29" s="84"/>
      <c r="M29" s="85"/>
      <c r="N29" s="85"/>
      <c r="O29" s="85"/>
      <c r="P29" s="95"/>
      <c r="Q29" s="72"/>
      <c r="R29" s="73"/>
      <c r="S29" s="90" t="n">
        <v>90</v>
      </c>
      <c r="T29" s="80"/>
      <c r="U29" s="74"/>
      <c r="V29" s="74"/>
      <c r="W29" s="74"/>
      <c r="X29" s="74"/>
      <c r="Y29" s="74"/>
      <c r="Z29" s="74"/>
      <c r="AA29" s="74"/>
      <c r="AB29" s="74"/>
      <c r="AC29" s="74"/>
      <c r="AD29" s="74"/>
      <c r="AE29" s="74"/>
      <c r="AF29" s="74"/>
      <c r="AG29" s="74"/>
      <c r="AH29" s="74"/>
      <c r="AI29" s="74"/>
      <c r="AJ29" s="74"/>
      <c r="AK29" s="74"/>
      <c r="AL29" s="74"/>
      <c r="AM29" s="134" t="e">
        <f aca="false">AVERAGE(U29:AC29)</f>
        <v>#DIV/0!</v>
      </c>
      <c r="AN29" s="92" t="n">
        <v>3.67</v>
      </c>
      <c r="AP29" s="75"/>
      <c r="AQ29" s="73" t="n">
        <f aca="false">AN29-(AN29-Q29)*(SIN((S29+AX29)*PI()/180))/(COS(AX29*PI()/180))</f>
        <v>0</v>
      </c>
      <c r="AR29" s="84" t="n">
        <f aca="false">H29+($M$1-M29)-(AN29-Q29)*(COS(S29*PI()/180))*(SIN((T29+13+2.3)*PI()/180))</f>
        <v>633905.233</v>
      </c>
      <c r="AS29" s="84" t="n">
        <f aca="false">I29+($N$1-N29)-(AN29-Q29)*(COS(S29*PI()/180))*(COS((T29+13+2.3)*PI()/180))</f>
        <v>3049240.448</v>
      </c>
      <c r="AT29" s="84" t="n">
        <f aca="false">J29+($O$1-O29)-R29+AN29-(AN29-Q29)*(SIN(S29*PI()/180))-L29</f>
        <v>56.28</v>
      </c>
      <c r="AU29" s="69"/>
      <c r="AV29" s="79"/>
      <c r="AW29" s="93" t="n">
        <f aca="false">AQ29-'Estacas Hurd'!AQ29</f>
        <v>-2.05</v>
      </c>
      <c r="AX29" s="80"/>
    </row>
    <row r="30" customFormat="false" ht="12.75" hidden="false" customHeight="true" outlineLevel="0" collapsed="false">
      <c r="A30" s="69" t="s">
        <v>138</v>
      </c>
      <c r="B30" s="69"/>
      <c r="C30" s="69"/>
      <c r="D30" s="69"/>
      <c r="E30" s="61"/>
      <c r="F30" s="81"/>
      <c r="G30" s="69"/>
      <c r="H30" s="74"/>
      <c r="I30" s="74"/>
      <c r="J30" s="74"/>
      <c r="K30" s="133"/>
      <c r="L30" s="84"/>
      <c r="M30" s="85"/>
      <c r="N30" s="85"/>
      <c r="O30" s="85"/>
      <c r="P30" s="95"/>
      <c r="Q30" s="72"/>
      <c r="R30" s="73"/>
      <c r="S30" s="90" t="n">
        <v>90</v>
      </c>
      <c r="T30" s="80"/>
      <c r="U30" s="74"/>
      <c r="V30" s="74"/>
      <c r="W30" s="74"/>
      <c r="X30" s="74"/>
      <c r="Y30" s="74"/>
      <c r="Z30" s="74"/>
      <c r="AA30" s="74"/>
      <c r="AB30" s="74"/>
      <c r="AC30" s="74"/>
      <c r="AD30" s="74"/>
      <c r="AE30" s="74"/>
      <c r="AF30" s="74"/>
      <c r="AG30" s="74"/>
      <c r="AH30" s="74"/>
      <c r="AI30" s="74"/>
      <c r="AJ30" s="74"/>
      <c r="AK30" s="74"/>
      <c r="AL30" s="74"/>
      <c r="AM30" s="134" t="e">
        <f aca="false">AVERAGE(U30:AC30)</f>
        <v>#DIV/0!</v>
      </c>
      <c r="AN30" s="92" t="n">
        <v>3.67</v>
      </c>
      <c r="AP30" s="75"/>
      <c r="AQ30" s="73" t="n">
        <f aca="false">AN30-(AN30-Q30)*(SIN((S30+AX30)*PI()/180))/(COS(AX30*PI()/180))</f>
        <v>0</v>
      </c>
      <c r="AR30" s="84" t="n">
        <f aca="false">H30+($M$1-M30)-(AN30-Q30)*(COS(S30*PI()/180))*(SIN((T30+13+2.3)*PI()/180))</f>
        <v>633905.233</v>
      </c>
      <c r="AS30" s="84" t="n">
        <f aca="false">I30+($N$1-N30)-(AN30-Q30)*(COS(S30*PI()/180))*(COS((T30+13+2.3)*PI()/180))</f>
        <v>3049240.448</v>
      </c>
      <c r="AT30" s="84" t="n">
        <f aca="false">J30+($O$1-O30)-R30+AN30-(AN30-Q30)*(SIN(S30*PI()/180))-L30</f>
        <v>56.28</v>
      </c>
      <c r="AU30" s="69"/>
      <c r="AV30" s="79"/>
      <c r="AW30" s="93" t="n">
        <f aca="false">AQ30-'Estacas Hurd'!AQ30</f>
        <v>-1.85</v>
      </c>
      <c r="AX30" s="80"/>
    </row>
    <row r="31" customFormat="false" ht="12.75" hidden="false" customHeight="true" outlineLevel="0" collapsed="false">
      <c r="A31" s="69" t="s">
        <v>139</v>
      </c>
      <c r="B31" s="69"/>
      <c r="C31" s="69"/>
      <c r="D31" s="69"/>
      <c r="E31" s="61"/>
      <c r="F31" s="81"/>
      <c r="G31" s="69"/>
      <c r="H31" s="74"/>
      <c r="I31" s="74"/>
      <c r="J31" s="74"/>
      <c r="K31" s="133"/>
      <c r="L31" s="84"/>
      <c r="M31" s="85"/>
      <c r="N31" s="85"/>
      <c r="O31" s="85"/>
      <c r="P31" s="95"/>
      <c r="Q31" s="72"/>
      <c r="R31" s="73"/>
      <c r="S31" s="90" t="n">
        <v>90</v>
      </c>
      <c r="T31" s="80"/>
      <c r="U31" s="74"/>
      <c r="V31" s="74"/>
      <c r="W31" s="74"/>
      <c r="X31" s="74"/>
      <c r="Y31" s="74"/>
      <c r="Z31" s="74"/>
      <c r="AA31" s="74"/>
      <c r="AB31" s="74"/>
      <c r="AC31" s="74"/>
      <c r="AD31" s="74"/>
      <c r="AE31" s="74"/>
      <c r="AF31" s="74"/>
      <c r="AG31" s="74"/>
      <c r="AH31" s="74"/>
      <c r="AI31" s="74"/>
      <c r="AJ31" s="74"/>
      <c r="AK31" s="74"/>
      <c r="AL31" s="74"/>
      <c r="AM31" s="134" t="e">
        <f aca="false">AVERAGE(U31:AC31)</f>
        <v>#DIV/0!</v>
      </c>
      <c r="AN31" s="92" t="n">
        <v>3.67</v>
      </c>
      <c r="AP31" s="75"/>
      <c r="AQ31" s="73" t="n">
        <f aca="false">AN31-(AN31-Q31)*(SIN((S31+AX31)*PI()/180))/(COS(AX31*PI()/180))</f>
        <v>0</v>
      </c>
      <c r="AR31" s="84" t="n">
        <f aca="false">H31+($M$1-M31)-(AN31-Q31)*(COS(S31*PI()/180))*(SIN((T31+13+2.3)*PI()/180))</f>
        <v>633905.233</v>
      </c>
      <c r="AS31" s="84" t="n">
        <f aca="false">I31+($N$1-N31)-(AN31-Q31)*(COS(S31*PI()/180))*(COS((T31+13+2.3)*PI()/180))</f>
        <v>3049240.448</v>
      </c>
      <c r="AT31" s="84" t="n">
        <f aca="false">J31+($O$1-O31)-R31+AN31-(AN31-Q31)*(SIN(S31*PI()/180))-L31</f>
        <v>56.28</v>
      </c>
      <c r="AU31" s="69"/>
      <c r="AV31" s="79"/>
      <c r="AW31" s="93" t="n">
        <f aca="false">AQ31-'Estacas Hurd'!AQ31</f>
        <v>-1.62</v>
      </c>
      <c r="AX31" s="80"/>
    </row>
    <row r="32" customFormat="false" ht="12.75" hidden="false" customHeight="true" outlineLevel="0" collapsed="false">
      <c r="A32" s="96" t="s">
        <v>140</v>
      </c>
      <c r="B32" s="96"/>
      <c r="C32" s="96"/>
      <c r="D32" s="96"/>
      <c r="E32" s="111"/>
      <c r="F32" s="135"/>
      <c r="G32" s="96"/>
      <c r="H32" s="114"/>
      <c r="I32" s="114"/>
      <c r="J32" s="114"/>
      <c r="K32" s="98"/>
      <c r="L32" s="99"/>
      <c r="M32" s="101"/>
      <c r="N32" s="101"/>
      <c r="O32" s="101"/>
      <c r="P32" s="102"/>
      <c r="Q32" s="103"/>
      <c r="R32" s="104"/>
      <c r="S32" s="105"/>
      <c r="T32" s="105"/>
      <c r="U32" s="97"/>
      <c r="V32" s="97"/>
      <c r="W32" s="97"/>
      <c r="X32" s="97"/>
      <c r="Y32" s="97"/>
      <c r="Z32" s="97"/>
      <c r="AA32" s="97"/>
      <c r="AB32" s="97"/>
      <c r="AC32" s="97"/>
      <c r="AD32" s="97"/>
      <c r="AE32" s="97"/>
      <c r="AF32" s="97"/>
      <c r="AG32" s="97"/>
      <c r="AH32" s="97"/>
      <c r="AI32" s="97"/>
      <c r="AJ32" s="97"/>
      <c r="AK32" s="97"/>
      <c r="AL32" s="97"/>
      <c r="AM32" s="97"/>
      <c r="AN32" s="107"/>
      <c r="AO32" s="136"/>
      <c r="AP32" s="109"/>
      <c r="AQ32" s="104"/>
      <c r="AR32" s="99"/>
      <c r="AS32" s="99"/>
      <c r="AT32" s="99"/>
      <c r="AU32" s="96"/>
      <c r="AV32" s="110"/>
      <c r="AW32" s="137"/>
      <c r="AX32" s="105"/>
    </row>
    <row r="33" customFormat="false" ht="12.75" hidden="false" customHeight="true" outlineLevel="0" collapsed="false">
      <c r="A33" s="96" t="s">
        <v>141</v>
      </c>
      <c r="B33" s="96"/>
      <c r="C33" s="96"/>
      <c r="D33" s="96"/>
      <c r="E33" s="111"/>
      <c r="F33" s="135"/>
      <c r="G33" s="96"/>
      <c r="H33" s="114"/>
      <c r="I33" s="114"/>
      <c r="J33" s="114"/>
      <c r="K33" s="98"/>
      <c r="L33" s="99"/>
      <c r="M33" s="101"/>
      <c r="N33" s="101"/>
      <c r="O33" s="101"/>
      <c r="P33" s="102"/>
      <c r="Q33" s="103"/>
      <c r="R33" s="104"/>
      <c r="S33" s="105"/>
      <c r="T33" s="105"/>
      <c r="U33" s="97"/>
      <c r="V33" s="97"/>
      <c r="W33" s="97"/>
      <c r="X33" s="97"/>
      <c r="Y33" s="97"/>
      <c r="Z33" s="97"/>
      <c r="AA33" s="97"/>
      <c r="AB33" s="97"/>
      <c r="AC33" s="97"/>
      <c r="AD33" s="97"/>
      <c r="AE33" s="97"/>
      <c r="AF33" s="97"/>
      <c r="AG33" s="97"/>
      <c r="AH33" s="97"/>
      <c r="AI33" s="97"/>
      <c r="AJ33" s="97"/>
      <c r="AK33" s="97"/>
      <c r="AL33" s="97"/>
      <c r="AM33" s="97"/>
      <c r="AN33" s="107"/>
      <c r="AO33" s="136"/>
      <c r="AP33" s="109"/>
      <c r="AQ33" s="104"/>
      <c r="AR33" s="99"/>
      <c r="AS33" s="99"/>
      <c r="AT33" s="99"/>
      <c r="AU33" s="96"/>
      <c r="AV33" s="110"/>
      <c r="AW33" s="137"/>
      <c r="AX33" s="105"/>
    </row>
    <row r="34" customFormat="false" ht="12.75" hidden="false" customHeight="true" outlineLevel="0" collapsed="false">
      <c r="A34" s="69" t="s">
        <v>142</v>
      </c>
      <c r="B34" s="69"/>
      <c r="C34" s="69"/>
      <c r="D34" s="69"/>
      <c r="E34" s="61"/>
      <c r="F34" s="81"/>
      <c r="G34" s="69"/>
      <c r="H34" s="74"/>
      <c r="I34" s="74"/>
      <c r="J34" s="74"/>
      <c r="K34" s="133"/>
      <c r="L34" s="84"/>
      <c r="M34" s="85"/>
      <c r="N34" s="85"/>
      <c r="O34" s="85"/>
      <c r="P34" s="138"/>
      <c r="Q34" s="72"/>
      <c r="R34" s="73"/>
      <c r="S34" s="90" t="n">
        <v>90</v>
      </c>
      <c r="T34" s="80"/>
      <c r="U34" s="74"/>
      <c r="V34" s="74"/>
      <c r="W34" s="74"/>
      <c r="X34" s="74"/>
      <c r="Y34" s="74"/>
      <c r="Z34" s="74"/>
      <c r="AA34" s="74"/>
      <c r="AB34" s="74"/>
      <c r="AC34" s="74"/>
      <c r="AD34" s="74"/>
      <c r="AE34" s="74"/>
      <c r="AF34" s="74"/>
      <c r="AG34" s="74"/>
      <c r="AH34" s="74"/>
      <c r="AI34" s="74"/>
      <c r="AJ34" s="74"/>
      <c r="AK34" s="74"/>
      <c r="AL34" s="74"/>
      <c r="AM34" s="134" t="e">
        <f aca="false">AVERAGE(U34:AC34)</f>
        <v>#DIV/0!</v>
      </c>
      <c r="AN34" s="92" t="n">
        <v>3.67</v>
      </c>
      <c r="AP34" s="75"/>
      <c r="AQ34" s="73" t="n">
        <f aca="false">AN34-(AN34-Q34)*(SIN((S34+AX34)*PI()/180))/(COS(AX34*PI()/180))</f>
        <v>0</v>
      </c>
      <c r="AR34" s="84" t="n">
        <f aca="false">H34+($M$1-M34)-(AN34-Q34)*(COS(S34*PI()/180))*(SIN((T34+13+2.3)*PI()/180))</f>
        <v>633905.233</v>
      </c>
      <c r="AS34" s="84" t="n">
        <f aca="false">I34+($N$1-N34)-(AN34-Q34)*(COS(S34*PI()/180))*(COS((T34+13+2.3)*PI()/180))</f>
        <v>3049240.448</v>
      </c>
      <c r="AT34" s="84" t="n">
        <f aca="false">J34+($O$1-O34)-R34+AN34-(AN34-Q34)*(SIN(S34*PI()/180))-L34</f>
        <v>56.28</v>
      </c>
      <c r="AU34" s="69"/>
      <c r="AV34" s="79"/>
      <c r="AW34" s="93" t="n">
        <f aca="false">AQ34-'Estacas Hurd'!AQ34</f>
        <v>-0.93</v>
      </c>
      <c r="AX34" s="80"/>
    </row>
    <row r="35" customFormat="false" ht="12.75" hidden="false" customHeight="true" outlineLevel="0" collapsed="false">
      <c r="A35" s="96" t="s">
        <v>144</v>
      </c>
      <c r="B35" s="96"/>
      <c r="C35" s="96"/>
      <c r="D35" s="96"/>
      <c r="E35" s="96"/>
      <c r="F35" s="135"/>
      <c r="G35" s="96"/>
      <c r="H35" s="96"/>
      <c r="I35" s="96"/>
      <c r="J35" s="96"/>
      <c r="K35" s="98"/>
      <c r="L35" s="96"/>
      <c r="M35" s="96"/>
      <c r="N35" s="96"/>
      <c r="O35" s="96"/>
      <c r="P35" s="96"/>
      <c r="Q35" s="103"/>
      <c r="R35" s="104"/>
      <c r="S35" s="105"/>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137"/>
      <c r="AX35" s="96"/>
    </row>
    <row r="36" customFormat="false" ht="12.75" hidden="false" customHeight="true" outlineLevel="0" collapsed="false">
      <c r="A36" s="96" t="s">
        <v>145</v>
      </c>
      <c r="B36" s="96"/>
      <c r="C36" s="96"/>
      <c r="D36" s="96"/>
      <c r="E36" s="111"/>
      <c r="F36" s="135"/>
      <c r="G36" s="96"/>
      <c r="H36" s="97"/>
      <c r="I36" s="97"/>
      <c r="J36" s="97"/>
      <c r="K36" s="98"/>
      <c r="L36" s="99"/>
      <c r="M36" s="101"/>
      <c r="N36" s="101"/>
      <c r="O36" s="101"/>
      <c r="P36" s="102"/>
      <c r="Q36" s="103"/>
      <c r="R36" s="104"/>
      <c r="S36" s="105"/>
      <c r="T36" s="105"/>
      <c r="U36" s="97"/>
      <c r="V36" s="97"/>
      <c r="W36" s="97"/>
      <c r="X36" s="97"/>
      <c r="Y36" s="97"/>
      <c r="Z36" s="97"/>
      <c r="AA36" s="97"/>
      <c r="AB36" s="97"/>
      <c r="AC36" s="97"/>
      <c r="AD36" s="97"/>
      <c r="AE36" s="97"/>
      <c r="AF36" s="97"/>
      <c r="AG36" s="97"/>
      <c r="AH36" s="97"/>
      <c r="AI36" s="97"/>
      <c r="AJ36" s="97"/>
      <c r="AK36" s="97"/>
      <c r="AL36" s="97"/>
      <c r="AM36" s="97"/>
      <c r="AN36" s="107"/>
      <c r="AO36" s="136"/>
      <c r="AP36" s="109"/>
      <c r="AQ36" s="104"/>
      <c r="AR36" s="99"/>
      <c r="AS36" s="99"/>
      <c r="AT36" s="99"/>
      <c r="AU36" s="96"/>
      <c r="AV36" s="110"/>
      <c r="AW36" s="137"/>
      <c r="AX36" s="105"/>
    </row>
    <row r="37" customFormat="false" ht="12.75" hidden="false" customHeight="true" outlineLevel="0" collapsed="false">
      <c r="A37" s="96" t="s">
        <v>146</v>
      </c>
      <c r="B37" s="96"/>
      <c r="C37" s="96"/>
      <c r="D37" s="96"/>
      <c r="E37" s="111"/>
      <c r="F37" s="135"/>
      <c r="G37" s="96"/>
      <c r="H37" s="97"/>
      <c r="I37" s="97"/>
      <c r="J37" s="97"/>
      <c r="K37" s="98"/>
      <c r="L37" s="99"/>
      <c r="M37" s="101"/>
      <c r="N37" s="101"/>
      <c r="O37" s="101"/>
      <c r="P37" s="102"/>
      <c r="Q37" s="103"/>
      <c r="R37" s="104"/>
      <c r="S37" s="105"/>
      <c r="T37" s="105"/>
      <c r="U37" s="97"/>
      <c r="V37" s="97"/>
      <c r="W37" s="97"/>
      <c r="X37" s="97"/>
      <c r="Y37" s="97"/>
      <c r="Z37" s="97"/>
      <c r="AA37" s="97"/>
      <c r="AB37" s="97"/>
      <c r="AC37" s="97"/>
      <c r="AD37" s="97"/>
      <c r="AE37" s="97"/>
      <c r="AF37" s="97"/>
      <c r="AG37" s="97"/>
      <c r="AH37" s="97"/>
      <c r="AI37" s="97"/>
      <c r="AJ37" s="97"/>
      <c r="AK37" s="97"/>
      <c r="AL37" s="97"/>
      <c r="AM37" s="97"/>
      <c r="AN37" s="107"/>
      <c r="AO37" s="136"/>
      <c r="AP37" s="109"/>
      <c r="AQ37" s="104"/>
      <c r="AR37" s="99"/>
      <c r="AS37" s="99"/>
      <c r="AT37" s="99"/>
      <c r="AU37" s="96"/>
      <c r="AV37" s="110"/>
      <c r="AW37" s="137"/>
      <c r="AX37" s="105"/>
    </row>
    <row r="38" customFormat="false" ht="12.75" hidden="false" customHeight="true" outlineLevel="0" collapsed="false">
      <c r="A38" s="96" t="s">
        <v>147</v>
      </c>
      <c r="B38" s="96"/>
      <c r="C38" s="96"/>
      <c r="D38" s="96"/>
      <c r="E38" s="111"/>
      <c r="F38" s="135"/>
      <c r="G38" s="96"/>
      <c r="H38" s="97"/>
      <c r="I38" s="97"/>
      <c r="J38" s="97"/>
      <c r="K38" s="98"/>
      <c r="L38" s="99"/>
      <c r="M38" s="101"/>
      <c r="N38" s="101"/>
      <c r="O38" s="101"/>
      <c r="P38" s="102"/>
      <c r="Q38" s="103"/>
      <c r="R38" s="104"/>
      <c r="S38" s="105"/>
      <c r="T38" s="105"/>
      <c r="U38" s="97"/>
      <c r="V38" s="97"/>
      <c r="W38" s="97"/>
      <c r="X38" s="97"/>
      <c r="Y38" s="97"/>
      <c r="Z38" s="97"/>
      <c r="AA38" s="97"/>
      <c r="AB38" s="97"/>
      <c r="AC38" s="97"/>
      <c r="AD38" s="97"/>
      <c r="AE38" s="97"/>
      <c r="AF38" s="97"/>
      <c r="AG38" s="97"/>
      <c r="AH38" s="97"/>
      <c r="AI38" s="97"/>
      <c r="AJ38" s="97"/>
      <c r="AK38" s="97"/>
      <c r="AL38" s="97"/>
      <c r="AM38" s="97"/>
      <c r="AN38" s="107"/>
      <c r="AO38" s="136"/>
      <c r="AP38" s="109"/>
      <c r="AQ38" s="104"/>
      <c r="AR38" s="99"/>
      <c r="AS38" s="99"/>
      <c r="AT38" s="99"/>
      <c r="AU38" s="96"/>
      <c r="AV38" s="110"/>
      <c r="AW38" s="137"/>
      <c r="AX38" s="105"/>
    </row>
    <row r="39" customFormat="false" ht="12.75" hidden="false" customHeight="true" outlineLevel="0" collapsed="false">
      <c r="A39" s="96" t="s">
        <v>148</v>
      </c>
      <c r="B39" s="96"/>
      <c r="C39" s="96"/>
      <c r="D39" s="96"/>
      <c r="E39" s="111"/>
      <c r="F39" s="135"/>
      <c r="G39" s="96"/>
      <c r="H39" s="104"/>
      <c r="I39" s="97"/>
      <c r="J39" s="97"/>
      <c r="K39" s="96"/>
      <c r="L39" s="99"/>
      <c r="M39" s="101"/>
      <c r="N39" s="101"/>
      <c r="O39" s="101"/>
      <c r="P39" s="102"/>
      <c r="Q39" s="103"/>
      <c r="R39" s="104"/>
      <c r="S39" s="105"/>
      <c r="T39" s="105"/>
      <c r="U39" s="97"/>
      <c r="V39" s="97"/>
      <c r="W39" s="97"/>
      <c r="X39" s="97"/>
      <c r="Y39" s="97"/>
      <c r="Z39" s="97"/>
      <c r="AA39" s="97"/>
      <c r="AB39" s="97"/>
      <c r="AC39" s="97"/>
      <c r="AD39" s="97"/>
      <c r="AE39" s="97"/>
      <c r="AF39" s="97"/>
      <c r="AG39" s="97"/>
      <c r="AH39" s="97"/>
      <c r="AI39" s="97"/>
      <c r="AJ39" s="97"/>
      <c r="AK39" s="97"/>
      <c r="AL39" s="97"/>
      <c r="AM39" s="97"/>
      <c r="AN39" s="107"/>
      <c r="AO39" s="136"/>
      <c r="AP39" s="109"/>
      <c r="AQ39" s="104"/>
      <c r="AR39" s="99"/>
      <c r="AS39" s="99"/>
      <c r="AT39" s="99"/>
      <c r="AU39" s="96"/>
      <c r="AV39" s="110"/>
      <c r="AW39" s="137"/>
      <c r="AX39" s="105"/>
    </row>
    <row r="40" customFormat="false" ht="12.75" hidden="false" customHeight="true" outlineLevel="0" collapsed="false">
      <c r="A40" s="69" t="s">
        <v>149</v>
      </c>
      <c r="B40" s="69"/>
      <c r="C40" s="69"/>
      <c r="D40" s="69"/>
      <c r="E40" s="61"/>
      <c r="F40" s="81"/>
      <c r="G40" s="69"/>
      <c r="H40" s="73"/>
      <c r="I40" s="74"/>
      <c r="J40" s="74"/>
      <c r="K40" s="69"/>
      <c r="L40" s="84"/>
      <c r="M40" s="84"/>
      <c r="N40" s="84"/>
      <c r="O40" s="84"/>
      <c r="P40" s="95"/>
      <c r="Q40" s="72"/>
      <c r="R40" s="73"/>
      <c r="S40" s="90" t="n">
        <v>90</v>
      </c>
      <c r="T40" s="80"/>
      <c r="U40" s="74"/>
      <c r="V40" s="74"/>
      <c r="W40" s="74"/>
      <c r="X40" s="74"/>
      <c r="Y40" s="74"/>
      <c r="Z40" s="74"/>
      <c r="AA40" s="74"/>
      <c r="AB40" s="74"/>
      <c r="AC40" s="74"/>
      <c r="AD40" s="74"/>
      <c r="AE40" s="74"/>
      <c r="AF40" s="74"/>
      <c r="AG40" s="93"/>
      <c r="AH40" s="74"/>
      <c r="AI40" s="74"/>
      <c r="AJ40" s="74"/>
      <c r="AK40" s="74"/>
      <c r="AL40" s="74"/>
      <c r="AM40" s="74" t="e">
        <f aca="false">AVERAGE(U40:AC40)</f>
        <v>#DIV/0!</v>
      </c>
      <c r="AN40" s="92" t="n">
        <v>3.67</v>
      </c>
      <c r="AO40" s="139"/>
      <c r="AP40" s="75"/>
      <c r="AQ40" s="73" t="n">
        <f aca="false">AN40-(AN40-Q40)*(SIN((S40+AX40)*PI()/180))/(COS(AX40*PI()/180))</f>
        <v>0</v>
      </c>
      <c r="AR40" s="84" t="n">
        <f aca="false">H40+($M$1-M40)-(AN40-Q40)*(COS(S40*PI()/180))*(SIN((T40+13+2.3)*PI()/180))</f>
        <v>633905.233</v>
      </c>
      <c r="AS40" s="84" t="n">
        <f aca="false">I40+($N$1-N40)-(AN40-Q40)*(COS(S40*PI()/180))*(COS((T40+13+2.3)*PI()/180))</f>
        <v>3049240.448</v>
      </c>
      <c r="AT40" s="84" t="n">
        <f aca="false">J40+($O$1-O40)-R40+AN40-(AN40-Q40)*(SIN(S40*PI()/180))-L40</f>
        <v>56.28</v>
      </c>
      <c r="AU40" s="69"/>
      <c r="AV40" s="79"/>
      <c r="AW40" s="93" t="n">
        <f aca="false">AQ40-'Estacas Hurd'!AQ40</f>
        <v>-1.78</v>
      </c>
      <c r="AX40" s="80"/>
    </row>
    <row r="41" customFormat="false" ht="12.75" hidden="false" customHeight="true" outlineLevel="0" collapsed="false">
      <c r="A41" s="96" t="s">
        <v>150</v>
      </c>
      <c r="B41" s="96"/>
      <c r="C41" s="96"/>
      <c r="D41" s="96"/>
      <c r="E41" s="111"/>
      <c r="F41" s="135"/>
      <c r="G41" s="96"/>
      <c r="H41" s="104"/>
      <c r="I41" s="97"/>
      <c r="J41" s="97"/>
      <c r="K41" s="96"/>
      <c r="L41" s="99"/>
      <c r="M41" s="101"/>
      <c r="N41" s="101"/>
      <c r="O41" s="101"/>
      <c r="P41" s="102"/>
      <c r="Q41" s="103"/>
      <c r="R41" s="104"/>
      <c r="S41" s="105"/>
      <c r="T41" s="105"/>
      <c r="U41" s="97"/>
      <c r="V41" s="97"/>
      <c r="W41" s="97"/>
      <c r="X41" s="97"/>
      <c r="Y41" s="97"/>
      <c r="Z41" s="97"/>
      <c r="AA41" s="97"/>
      <c r="AB41" s="97"/>
      <c r="AC41" s="97"/>
      <c r="AD41" s="97"/>
      <c r="AE41" s="97"/>
      <c r="AF41" s="97"/>
      <c r="AG41" s="97"/>
      <c r="AH41" s="97"/>
      <c r="AI41" s="97"/>
      <c r="AJ41" s="97"/>
      <c r="AK41" s="97"/>
      <c r="AL41" s="97"/>
      <c r="AM41" s="97"/>
      <c r="AN41" s="107"/>
      <c r="AO41" s="136"/>
      <c r="AP41" s="109"/>
      <c r="AQ41" s="104"/>
      <c r="AR41" s="99"/>
      <c r="AS41" s="99"/>
      <c r="AT41" s="99"/>
      <c r="AU41" s="96"/>
      <c r="AV41" s="110"/>
      <c r="AW41" s="137"/>
      <c r="AX41" s="105"/>
    </row>
    <row r="42" customFormat="false" ht="12.75" hidden="false" customHeight="true" outlineLevel="0" collapsed="false">
      <c r="A42" s="96" t="s">
        <v>151</v>
      </c>
      <c r="B42" s="96"/>
      <c r="C42" s="96"/>
      <c r="D42" s="96"/>
      <c r="E42" s="111"/>
      <c r="F42" s="135"/>
      <c r="G42" s="96"/>
      <c r="H42" s="104"/>
      <c r="I42" s="97"/>
      <c r="J42" s="97"/>
      <c r="K42" s="96"/>
      <c r="L42" s="99"/>
      <c r="M42" s="101"/>
      <c r="N42" s="101"/>
      <c r="O42" s="101"/>
      <c r="P42" s="102"/>
      <c r="Q42" s="103"/>
      <c r="R42" s="104"/>
      <c r="S42" s="105"/>
      <c r="T42" s="105"/>
      <c r="U42" s="97"/>
      <c r="V42" s="97"/>
      <c r="W42" s="97"/>
      <c r="X42" s="97"/>
      <c r="Y42" s="97"/>
      <c r="Z42" s="97"/>
      <c r="AA42" s="97"/>
      <c r="AB42" s="97"/>
      <c r="AC42" s="97"/>
      <c r="AD42" s="97"/>
      <c r="AE42" s="97"/>
      <c r="AF42" s="97"/>
      <c r="AG42" s="97"/>
      <c r="AH42" s="97"/>
      <c r="AI42" s="97"/>
      <c r="AJ42" s="97"/>
      <c r="AK42" s="97"/>
      <c r="AL42" s="97"/>
      <c r="AM42" s="97"/>
      <c r="AN42" s="107"/>
      <c r="AO42" s="136"/>
      <c r="AP42" s="109"/>
      <c r="AQ42" s="104"/>
      <c r="AR42" s="99"/>
      <c r="AS42" s="99"/>
      <c r="AT42" s="99"/>
      <c r="AU42" s="96"/>
      <c r="AV42" s="110"/>
      <c r="AW42" s="137"/>
      <c r="AX42" s="105"/>
    </row>
    <row r="43" customFormat="false" ht="12.75" hidden="false" customHeight="true" outlineLevel="0" collapsed="false">
      <c r="A43" s="96" t="s">
        <v>152</v>
      </c>
      <c r="B43" s="96"/>
      <c r="C43" s="96"/>
      <c r="D43" s="96"/>
      <c r="E43" s="111"/>
      <c r="F43" s="135"/>
      <c r="G43" s="96"/>
      <c r="H43" s="104"/>
      <c r="I43" s="97"/>
      <c r="J43" s="97"/>
      <c r="K43" s="96"/>
      <c r="L43" s="99"/>
      <c r="M43" s="101"/>
      <c r="N43" s="101"/>
      <c r="O43" s="101"/>
      <c r="P43" s="102"/>
      <c r="Q43" s="103"/>
      <c r="R43" s="104"/>
      <c r="S43" s="105"/>
      <c r="T43" s="105"/>
      <c r="U43" s="97"/>
      <c r="V43" s="97"/>
      <c r="W43" s="97"/>
      <c r="X43" s="97"/>
      <c r="Y43" s="97"/>
      <c r="Z43" s="97"/>
      <c r="AA43" s="97"/>
      <c r="AB43" s="97"/>
      <c r="AC43" s="97"/>
      <c r="AD43" s="97"/>
      <c r="AE43" s="97"/>
      <c r="AF43" s="97"/>
      <c r="AG43" s="97"/>
      <c r="AH43" s="97"/>
      <c r="AI43" s="97"/>
      <c r="AJ43" s="97"/>
      <c r="AK43" s="97"/>
      <c r="AL43" s="97"/>
      <c r="AM43" s="97"/>
      <c r="AN43" s="107"/>
      <c r="AO43" s="136"/>
      <c r="AP43" s="109"/>
      <c r="AQ43" s="104"/>
      <c r="AR43" s="99"/>
      <c r="AS43" s="99"/>
      <c r="AT43" s="99"/>
      <c r="AU43" s="96"/>
      <c r="AV43" s="110"/>
      <c r="AW43" s="137"/>
      <c r="AX43" s="105"/>
    </row>
    <row r="44" customFormat="false" ht="12.75" hidden="false" customHeight="true" outlineLevel="0" collapsed="false">
      <c r="A44" s="96" t="s">
        <v>153</v>
      </c>
      <c r="B44" s="96"/>
      <c r="C44" s="96"/>
      <c r="D44" s="96"/>
      <c r="E44" s="111"/>
      <c r="F44" s="135"/>
      <c r="G44" s="96"/>
      <c r="H44" s="104"/>
      <c r="I44" s="97"/>
      <c r="J44" s="97"/>
      <c r="K44" s="96"/>
      <c r="L44" s="99"/>
      <c r="M44" s="101"/>
      <c r="N44" s="101"/>
      <c r="O44" s="101"/>
      <c r="P44" s="102"/>
      <c r="Q44" s="103"/>
      <c r="R44" s="104"/>
      <c r="S44" s="105"/>
      <c r="T44" s="105"/>
      <c r="U44" s="97"/>
      <c r="V44" s="97"/>
      <c r="W44" s="97"/>
      <c r="X44" s="97"/>
      <c r="Y44" s="97"/>
      <c r="Z44" s="97"/>
      <c r="AA44" s="97"/>
      <c r="AB44" s="97"/>
      <c r="AC44" s="97"/>
      <c r="AD44" s="97"/>
      <c r="AE44" s="97"/>
      <c r="AF44" s="97"/>
      <c r="AG44" s="97"/>
      <c r="AH44" s="97"/>
      <c r="AI44" s="97"/>
      <c r="AJ44" s="97"/>
      <c r="AK44" s="97"/>
      <c r="AL44" s="97"/>
      <c r="AM44" s="97"/>
      <c r="AN44" s="107"/>
      <c r="AO44" s="136"/>
      <c r="AP44" s="109"/>
      <c r="AQ44" s="104"/>
      <c r="AR44" s="99"/>
      <c r="AS44" s="99"/>
      <c r="AT44" s="99"/>
      <c r="AU44" s="96"/>
      <c r="AV44" s="110"/>
      <c r="AW44" s="137"/>
      <c r="AX44" s="105"/>
    </row>
    <row r="45" customFormat="false" ht="12.75" hidden="false" customHeight="true" outlineLevel="0" collapsed="false">
      <c r="A45" s="96" t="s">
        <v>154</v>
      </c>
      <c r="B45" s="96"/>
      <c r="C45" s="96"/>
      <c r="D45" s="96"/>
      <c r="E45" s="111"/>
      <c r="F45" s="135"/>
      <c r="G45" s="96"/>
      <c r="H45" s="104"/>
      <c r="I45" s="97"/>
      <c r="J45" s="97"/>
      <c r="K45" s="96"/>
      <c r="L45" s="99"/>
      <c r="M45" s="101"/>
      <c r="N45" s="101"/>
      <c r="O45" s="101"/>
      <c r="P45" s="102"/>
      <c r="Q45" s="103"/>
      <c r="R45" s="104"/>
      <c r="S45" s="105"/>
      <c r="T45" s="105"/>
      <c r="U45" s="97"/>
      <c r="V45" s="97"/>
      <c r="W45" s="97"/>
      <c r="X45" s="97"/>
      <c r="Y45" s="97"/>
      <c r="Z45" s="97"/>
      <c r="AA45" s="97"/>
      <c r="AB45" s="97"/>
      <c r="AC45" s="97"/>
      <c r="AD45" s="97"/>
      <c r="AE45" s="97"/>
      <c r="AF45" s="97"/>
      <c r="AG45" s="97"/>
      <c r="AH45" s="97"/>
      <c r="AI45" s="97"/>
      <c r="AJ45" s="97"/>
      <c r="AK45" s="97"/>
      <c r="AL45" s="97"/>
      <c r="AM45" s="97"/>
      <c r="AN45" s="107"/>
      <c r="AO45" s="136"/>
      <c r="AP45" s="109"/>
      <c r="AQ45" s="104"/>
      <c r="AR45" s="99"/>
      <c r="AS45" s="99"/>
      <c r="AT45" s="99"/>
      <c r="AU45" s="96"/>
      <c r="AV45" s="110"/>
      <c r="AW45" s="137"/>
      <c r="AX45" s="105"/>
    </row>
    <row r="46" customFormat="false" ht="12.75" hidden="false" customHeight="true" outlineLevel="0" collapsed="false">
      <c r="A46" s="96" t="s">
        <v>155</v>
      </c>
      <c r="B46" s="96"/>
      <c r="C46" s="96"/>
      <c r="D46" s="96"/>
      <c r="E46" s="111"/>
      <c r="F46" s="135"/>
      <c r="G46" s="96"/>
      <c r="H46" s="104"/>
      <c r="I46" s="97"/>
      <c r="J46" s="97"/>
      <c r="K46" s="96"/>
      <c r="L46" s="99"/>
      <c r="M46" s="101"/>
      <c r="N46" s="101"/>
      <c r="O46" s="101"/>
      <c r="P46" s="102"/>
      <c r="Q46" s="103"/>
      <c r="R46" s="104"/>
      <c r="S46" s="105"/>
      <c r="T46" s="105"/>
      <c r="U46" s="97"/>
      <c r="V46" s="97"/>
      <c r="W46" s="97"/>
      <c r="X46" s="97"/>
      <c r="Y46" s="97"/>
      <c r="Z46" s="97"/>
      <c r="AA46" s="97"/>
      <c r="AB46" s="97"/>
      <c r="AC46" s="97"/>
      <c r="AD46" s="97"/>
      <c r="AE46" s="97"/>
      <c r="AF46" s="97"/>
      <c r="AG46" s="97"/>
      <c r="AH46" s="97"/>
      <c r="AI46" s="97"/>
      <c r="AJ46" s="97"/>
      <c r="AK46" s="97"/>
      <c r="AL46" s="97"/>
      <c r="AM46" s="97"/>
      <c r="AN46" s="107"/>
      <c r="AO46" s="136"/>
      <c r="AP46" s="109"/>
      <c r="AQ46" s="104"/>
      <c r="AR46" s="99"/>
      <c r="AS46" s="99"/>
      <c r="AT46" s="99"/>
      <c r="AU46" s="96"/>
      <c r="AV46" s="110"/>
      <c r="AW46" s="137"/>
      <c r="AX46" s="105"/>
    </row>
    <row r="47" customFormat="false" ht="12.75" hidden="false" customHeight="true" outlineLevel="0" collapsed="false">
      <c r="A47" s="96" t="s">
        <v>156</v>
      </c>
      <c r="B47" s="96"/>
      <c r="C47" s="96"/>
      <c r="D47" s="96"/>
      <c r="E47" s="111"/>
      <c r="F47" s="135"/>
      <c r="G47" s="96"/>
      <c r="H47" s="104"/>
      <c r="I47" s="97"/>
      <c r="J47" s="97"/>
      <c r="K47" s="96"/>
      <c r="L47" s="99"/>
      <c r="M47" s="101"/>
      <c r="N47" s="101"/>
      <c r="O47" s="101"/>
      <c r="P47" s="102"/>
      <c r="Q47" s="103"/>
      <c r="R47" s="104"/>
      <c r="S47" s="105"/>
      <c r="T47" s="105"/>
      <c r="U47" s="97"/>
      <c r="V47" s="97"/>
      <c r="W47" s="97"/>
      <c r="X47" s="97"/>
      <c r="Y47" s="97"/>
      <c r="Z47" s="97"/>
      <c r="AA47" s="97"/>
      <c r="AB47" s="97"/>
      <c r="AC47" s="97"/>
      <c r="AD47" s="97"/>
      <c r="AE47" s="97"/>
      <c r="AF47" s="97"/>
      <c r="AG47" s="97"/>
      <c r="AH47" s="97"/>
      <c r="AI47" s="97"/>
      <c r="AJ47" s="97"/>
      <c r="AK47" s="97"/>
      <c r="AL47" s="97"/>
      <c r="AM47" s="97"/>
      <c r="AN47" s="107"/>
      <c r="AO47" s="136"/>
      <c r="AP47" s="109"/>
      <c r="AQ47" s="104"/>
      <c r="AR47" s="99"/>
      <c r="AS47" s="99"/>
      <c r="AT47" s="99"/>
      <c r="AU47" s="96"/>
      <c r="AV47" s="110"/>
      <c r="AW47" s="137"/>
      <c r="AX47" s="105"/>
    </row>
    <row r="48" customFormat="false" ht="12.75" hidden="false" customHeight="true" outlineLevel="0" collapsed="false">
      <c r="A48" s="96" t="s">
        <v>157</v>
      </c>
      <c r="B48" s="96"/>
      <c r="C48" s="96"/>
      <c r="D48" s="96"/>
      <c r="E48" s="111"/>
      <c r="F48" s="135"/>
      <c r="G48" s="96"/>
      <c r="H48" s="104"/>
      <c r="I48" s="97"/>
      <c r="J48" s="97"/>
      <c r="K48" s="96"/>
      <c r="L48" s="99"/>
      <c r="M48" s="101"/>
      <c r="N48" s="101"/>
      <c r="O48" s="101"/>
      <c r="P48" s="102"/>
      <c r="Q48" s="103"/>
      <c r="R48" s="104"/>
      <c r="S48" s="105"/>
      <c r="T48" s="105"/>
      <c r="U48" s="97"/>
      <c r="V48" s="97"/>
      <c r="W48" s="97"/>
      <c r="X48" s="97"/>
      <c r="Y48" s="97"/>
      <c r="Z48" s="97"/>
      <c r="AA48" s="97"/>
      <c r="AB48" s="97"/>
      <c r="AC48" s="97"/>
      <c r="AD48" s="97"/>
      <c r="AE48" s="97"/>
      <c r="AF48" s="97"/>
      <c r="AG48" s="97"/>
      <c r="AH48" s="97"/>
      <c r="AI48" s="97"/>
      <c r="AJ48" s="97"/>
      <c r="AK48" s="97"/>
      <c r="AL48" s="97"/>
      <c r="AM48" s="97"/>
      <c r="AN48" s="107"/>
      <c r="AO48" s="136"/>
      <c r="AP48" s="109"/>
      <c r="AQ48" s="104"/>
      <c r="AR48" s="99"/>
      <c r="AS48" s="99"/>
      <c r="AT48" s="99"/>
      <c r="AU48" s="96"/>
      <c r="AV48" s="110"/>
      <c r="AW48" s="137"/>
      <c r="AX48" s="105"/>
    </row>
    <row r="49" customFormat="false" ht="12.75" hidden="false" customHeight="true" outlineLevel="0" collapsed="false">
      <c r="A49" s="96" t="s">
        <v>158</v>
      </c>
      <c r="B49" s="96"/>
      <c r="C49" s="96"/>
      <c r="D49" s="96"/>
      <c r="E49" s="111"/>
      <c r="F49" s="135"/>
      <c r="G49" s="96"/>
      <c r="H49" s="104"/>
      <c r="I49" s="97"/>
      <c r="J49" s="97"/>
      <c r="K49" s="96"/>
      <c r="L49" s="99"/>
      <c r="M49" s="101"/>
      <c r="N49" s="101"/>
      <c r="O49" s="101"/>
      <c r="P49" s="102"/>
      <c r="Q49" s="103"/>
      <c r="R49" s="104"/>
      <c r="S49" s="105"/>
      <c r="T49" s="105"/>
      <c r="U49" s="97"/>
      <c r="V49" s="97"/>
      <c r="W49" s="97"/>
      <c r="X49" s="97"/>
      <c r="Y49" s="97"/>
      <c r="Z49" s="97"/>
      <c r="AA49" s="97"/>
      <c r="AB49" s="97"/>
      <c r="AC49" s="97"/>
      <c r="AD49" s="97"/>
      <c r="AE49" s="97"/>
      <c r="AF49" s="97"/>
      <c r="AG49" s="97"/>
      <c r="AH49" s="97"/>
      <c r="AI49" s="97"/>
      <c r="AJ49" s="97"/>
      <c r="AK49" s="97"/>
      <c r="AL49" s="97"/>
      <c r="AM49" s="97"/>
      <c r="AN49" s="107"/>
      <c r="AO49" s="136"/>
      <c r="AP49" s="109"/>
      <c r="AQ49" s="104"/>
      <c r="AR49" s="99"/>
      <c r="AS49" s="99"/>
      <c r="AT49" s="99"/>
      <c r="AU49" s="96"/>
      <c r="AV49" s="110"/>
      <c r="AW49" s="137"/>
      <c r="AX49" s="105"/>
    </row>
    <row r="50" customFormat="false" ht="12.75" hidden="false" customHeight="true" outlineLevel="0" collapsed="false">
      <c r="A50" s="96" t="s">
        <v>159</v>
      </c>
      <c r="B50" s="96"/>
      <c r="C50" s="96"/>
      <c r="D50" s="96"/>
      <c r="E50" s="111"/>
      <c r="F50" s="135"/>
      <c r="G50" s="96"/>
      <c r="H50" s="104"/>
      <c r="I50" s="97"/>
      <c r="J50" s="97"/>
      <c r="K50" s="96"/>
      <c r="L50" s="99"/>
      <c r="M50" s="101"/>
      <c r="N50" s="101"/>
      <c r="O50" s="101"/>
      <c r="P50" s="102"/>
      <c r="Q50" s="103"/>
      <c r="R50" s="104"/>
      <c r="S50" s="105"/>
      <c r="T50" s="105"/>
      <c r="U50" s="97"/>
      <c r="V50" s="97"/>
      <c r="W50" s="97"/>
      <c r="X50" s="97"/>
      <c r="Y50" s="97"/>
      <c r="Z50" s="97"/>
      <c r="AA50" s="97"/>
      <c r="AB50" s="97"/>
      <c r="AC50" s="97"/>
      <c r="AD50" s="97"/>
      <c r="AE50" s="97"/>
      <c r="AF50" s="97"/>
      <c r="AG50" s="97"/>
      <c r="AH50" s="97"/>
      <c r="AI50" s="97"/>
      <c r="AJ50" s="97"/>
      <c r="AK50" s="97"/>
      <c r="AL50" s="97"/>
      <c r="AM50" s="97"/>
      <c r="AN50" s="107"/>
      <c r="AO50" s="136"/>
      <c r="AP50" s="109"/>
      <c r="AQ50" s="104"/>
      <c r="AR50" s="99"/>
      <c r="AS50" s="99"/>
      <c r="AT50" s="99"/>
      <c r="AU50" s="96"/>
      <c r="AV50" s="110"/>
      <c r="AW50" s="137"/>
      <c r="AX50" s="105"/>
    </row>
    <row r="51" customFormat="false" ht="12.75" hidden="false" customHeight="true" outlineLevel="0" collapsed="false">
      <c r="A51" s="96" t="s">
        <v>160</v>
      </c>
      <c r="B51" s="96"/>
      <c r="C51" s="96"/>
      <c r="D51" s="96"/>
      <c r="E51" s="111"/>
      <c r="F51" s="135"/>
      <c r="G51" s="96"/>
      <c r="H51" s="104"/>
      <c r="I51" s="97"/>
      <c r="J51" s="97"/>
      <c r="K51" s="96"/>
      <c r="L51" s="99"/>
      <c r="M51" s="101"/>
      <c r="N51" s="101"/>
      <c r="O51" s="101"/>
      <c r="P51" s="102"/>
      <c r="Q51" s="103"/>
      <c r="R51" s="104"/>
      <c r="S51" s="105"/>
      <c r="T51" s="105"/>
      <c r="U51" s="97"/>
      <c r="V51" s="97"/>
      <c r="W51" s="97"/>
      <c r="X51" s="97"/>
      <c r="Y51" s="97"/>
      <c r="Z51" s="97"/>
      <c r="AA51" s="97"/>
      <c r="AB51" s="97"/>
      <c r="AC51" s="97"/>
      <c r="AD51" s="97"/>
      <c r="AE51" s="97"/>
      <c r="AF51" s="97"/>
      <c r="AG51" s="97"/>
      <c r="AH51" s="97"/>
      <c r="AI51" s="97"/>
      <c r="AJ51" s="97"/>
      <c r="AK51" s="97"/>
      <c r="AL51" s="97"/>
      <c r="AM51" s="97"/>
      <c r="AN51" s="107"/>
      <c r="AO51" s="136"/>
      <c r="AP51" s="109"/>
      <c r="AQ51" s="104"/>
      <c r="AR51" s="99"/>
      <c r="AS51" s="99"/>
      <c r="AT51" s="99"/>
      <c r="AU51" s="96"/>
      <c r="AV51" s="110"/>
      <c r="AW51" s="137"/>
      <c r="AX51" s="105"/>
    </row>
    <row r="52" customFormat="false" ht="12.75" hidden="false" customHeight="true" outlineLevel="0" collapsed="false">
      <c r="A52" s="96" t="s">
        <v>161</v>
      </c>
      <c r="B52" s="96"/>
      <c r="C52" s="96"/>
      <c r="D52" s="96"/>
      <c r="E52" s="111"/>
      <c r="F52" s="135"/>
      <c r="G52" s="96"/>
      <c r="H52" s="104"/>
      <c r="I52" s="97"/>
      <c r="J52" s="97"/>
      <c r="K52" s="96"/>
      <c r="L52" s="99"/>
      <c r="M52" s="101"/>
      <c r="N52" s="101"/>
      <c r="O52" s="101"/>
      <c r="P52" s="102"/>
      <c r="Q52" s="103"/>
      <c r="R52" s="104"/>
      <c r="S52" s="105"/>
      <c r="T52" s="105"/>
      <c r="U52" s="97"/>
      <c r="V52" s="97"/>
      <c r="W52" s="97"/>
      <c r="X52" s="97"/>
      <c r="Y52" s="97"/>
      <c r="Z52" s="97"/>
      <c r="AA52" s="97"/>
      <c r="AB52" s="97"/>
      <c r="AC52" s="97"/>
      <c r="AD52" s="97"/>
      <c r="AE52" s="97"/>
      <c r="AF52" s="97"/>
      <c r="AG52" s="97"/>
      <c r="AH52" s="97"/>
      <c r="AI52" s="97"/>
      <c r="AJ52" s="97"/>
      <c r="AK52" s="97"/>
      <c r="AL52" s="97"/>
      <c r="AM52" s="97"/>
      <c r="AN52" s="107"/>
      <c r="AO52" s="136"/>
      <c r="AP52" s="109"/>
      <c r="AQ52" s="104"/>
      <c r="AR52" s="99"/>
      <c r="AS52" s="99"/>
      <c r="AT52" s="99"/>
      <c r="AU52" s="96"/>
      <c r="AV52" s="110"/>
      <c r="AW52" s="137"/>
      <c r="AX52" s="105"/>
    </row>
    <row r="53" customFormat="false" ht="12.75" hidden="false" customHeight="true" outlineLevel="0" collapsed="false">
      <c r="A53" s="96" t="s">
        <v>162</v>
      </c>
      <c r="B53" s="96"/>
      <c r="C53" s="96"/>
      <c r="D53" s="96"/>
      <c r="E53" s="111"/>
      <c r="F53" s="135"/>
      <c r="G53" s="96"/>
      <c r="H53" s="104"/>
      <c r="I53" s="97"/>
      <c r="J53" s="97"/>
      <c r="K53" s="96"/>
      <c r="L53" s="99"/>
      <c r="M53" s="101"/>
      <c r="N53" s="101"/>
      <c r="O53" s="101"/>
      <c r="P53" s="102"/>
      <c r="Q53" s="103"/>
      <c r="R53" s="104"/>
      <c r="S53" s="105"/>
      <c r="T53" s="105"/>
      <c r="U53" s="97"/>
      <c r="V53" s="97"/>
      <c r="W53" s="97"/>
      <c r="X53" s="97"/>
      <c r="Y53" s="97"/>
      <c r="Z53" s="97"/>
      <c r="AA53" s="97"/>
      <c r="AB53" s="97"/>
      <c r="AC53" s="97"/>
      <c r="AD53" s="97"/>
      <c r="AE53" s="97"/>
      <c r="AF53" s="97"/>
      <c r="AG53" s="97"/>
      <c r="AH53" s="97"/>
      <c r="AI53" s="97"/>
      <c r="AJ53" s="97"/>
      <c r="AK53" s="97"/>
      <c r="AL53" s="97"/>
      <c r="AM53" s="97"/>
      <c r="AN53" s="107"/>
      <c r="AO53" s="136"/>
      <c r="AP53" s="109"/>
      <c r="AQ53" s="104"/>
      <c r="AR53" s="99"/>
      <c r="AS53" s="99"/>
      <c r="AT53" s="99"/>
      <c r="AU53" s="96"/>
      <c r="AV53" s="110"/>
      <c r="AW53" s="137"/>
      <c r="AX53" s="105"/>
    </row>
    <row r="54" customFormat="false" ht="12.75" hidden="false" customHeight="true" outlineLevel="0" collapsed="false">
      <c r="A54" s="96" t="s">
        <v>163</v>
      </c>
      <c r="B54" s="96"/>
      <c r="C54" s="96"/>
      <c r="D54" s="96"/>
      <c r="E54" s="111"/>
      <c r="F54" s="135"/>
      <c r="G54" s="96"/>
      <c r="H54" s="104"/>
      <c r="I54" s="97"/>
      <c r="J54" s="97"/>
      <c r="K54" s="96"/>
      <c r="L54" s="99"/>
      <c r="M54" s="101"/>
      <c r="N54" s="101"/>
      <c r="O54" s="101"/>
      <c r="P54" s="102"/>
      <c r="Q54" s="103"/>
      <c r="R54" s="104"/>
      <c r="S54" s="105"/>
      <c r="T54" s="105"/>
      <c r="U54" s="97"/>
      <c r="V54" s="97"/>
      <c r="W54" s="97"/>
      <c r="X54" s="97"/>
      <c r="Y54" s="97"/>
      <c r="Z54" s="97"/>
      <c r="AA54" s="97"/>
      <c r="AB54" s="97"/>
      <c r="AC54" s="97"/>
      <c r="AD54" s="97"/>
      <c r="AE54" s="97"/>
      <c r="AF54" s="97"/>
      <c r="AG54" s="97"/>
      <c r="AH54" s="97"/>
      <c r="AI54" s="97"/>
      <c r="AJ54" s="97"/>
      <c r="AK54" s="97"/>
      <c r="AL54" s="97"/>
      <c r="AM54" s="97"/>
      <c r="AN54" s="107"/>
      <c r="AO54" s="136"/>
      <c r="AP54" s="109"/>
      <c r="AQ54" s="104"/>
      <c r="AR54" s="99"/>
      <c r="AS54" s="99"/>
      <c r="AT54" s="99"/>
      <c r="AU54" s="96"/>
      <c r="AV54" s="110"/>
      <c r="AW54" s="137"/>
      <c r="AX54" s="105"/>
    </row>
    <row r="55" customFormat="false" ht="12.75" hidden="false" customHeight="true" outlineLevel="0" collapsed="false">
      <c r="A55" s="96" t="s">
        <v>164</v>
      </c>
      <c r="B55" s="96"/>
      <c r="C55" s="96"/>
      <c r="D55" s="96"/>
      <c r="E55" s="111"/>
      <c r="F55" s="135"/>
      <c r="G55" s="96"/>
      <c r="H55" s="104"/>
      <c r="I55" s="97"/>
      <c r="J55" s="97"/>
      <c r="K55" s="96"/>
      <c r="L55" s="99"/>
      <c r="M55" s="101"/>
      <c r="N55" s="101"/>
      <c r="O55" s="101"/>
      <c r="P55" s="102"/>
      <c r="Q55" s="103"/>
      <c r="R55" s="104"/>
      <c r="S55" s="105"/>
      <c r="T55" s="105"/>
      <c r="U55" s="97"/>
      <c r="V55" s="97"/>
      <c r="W55" s="97"/>
      <c r="X55" s="97"/>
      <c r="Y55" s="97"/>
      <c r="Z55" s="97"/>
      <c r="AA55" s="97"/>
      <c r="AB55" s="97"/>
      <c r="AC55" s="97"/>
      <c r="AD55" s="97"/>
      <c r="AE55" s="97"/>
      <c r="AF55" s="97"/>
      <c r="AG55" s="97"/>
      <c r="AH55" s="97"/>
      <c r="AI55" s="97"/>
      <c r="AJ55" s="97"/>
      <c r="AK55" s="97"/>
      <c r="AL55" s="97"/>
      <c r="AM55" s="97"/>
      <c r="AN55" s="107"/>
      <c r="AO55" s="136"/>
      <c r="AP55" s="109"/>
      <c r="AQ55" s="104"/>
      <c r="AR55" s="99"/>
      <c r="AS55" s="99"/>
      <c r="AT55" s="99"/>
      <c r="AU55" s="96"/>
      <c r="AV55" s="110"/>
      <c r="AW55" s="137"/>
      <c r="AX55" s="105"/>
    </row>
    <row r="56" customFormat="false" ht="12.75" hidden="false" customHeight="true" outlineLevel="0" collapsed="false">
      <c r="A56" s="96" t="s">
        <v>165</v>
      </c>
      <c r="B56" s="96"/>
      <c r="C56" s="96"/>
      <c r="D56" s="96"/>
      <c r="E56" s="111"/>
      <c r="F56" s="135"/>
      <c r="G56" s="96"/>
      <c r="H56" s="104"/>
      <c r="I56" s="97"/>
      <c r="J56" s="97"/>
      <c r="K56" s="96"/>
      <c r="L56" s="99"/>
      <c r="M56" s="101"/>
      <c r="N56" s="101"/>
      <c r="O56" s="101"/>
      <c r="P56" s="102"/>
      <c r="Q56" s="103"/>
      <c r="R56" s="104"/>
      <c r="S56" s="105"/>
      <c r="T56" s="105"/>
      <c r="U56" s="97"/>
      <c r="V56" s="97"/>
      <c r="W56" s="97"/>
      <c r="X56" s="97"/>
      <c r="Y56" s="97"/>
      <c r="Z56" s="97"/>
      <c r="AA56" s="97"/>
      <c r="AB56" s="97"/>
      <c r="AC56" s="97"/>
      <c r="AD56" s="97"/>
      <c r="AE56" s="97"/>
      <c r="AF56" s="97"/>
      <c r="AG56" s="97"/>
      <c r="AH56" s="97"/>
      <c r="AI56" s="97"/>
      <c r="AJ56" s="97"/>
      <c r="AK56" s="97"/>
      <c r="AL56" s="97"/>
      <c r="AM56" s="97"/>
      <c r="AN56" s="107"/>
      <c r="AO56" s="136"/>
      <c r="AP56" s="109"/>
      <c r="AQ56" s="104"/>
      <c r="AR56" s="99"/>
      <c r="AS56" s="99"/>
      <c r="AT56" s="99"/>
      <c r="AU56" s="96"/>
      <c r="AV56" s="110"/>
      <c r="AW56" s="137"/>
      <c r="AX56" s="105"/>
    </row>
    <row r="57" customFormat="false" ht="12.75" hidden="false" customHeight="true" outlineLevel="0" collapsed="false">
      <c r="A57" s="69" t="s">
        <v>166</v>
      </c>
      <c r="B57" s="69"/>
      <c r="C57" s="69"/>
      <c r="D57" s="69"/>
      <c r="E57" s="61"/>
      <c r="F57" s="81"/>
      <c r="G57" s="69"/>
      <c r="H57" s="73"/>
      <c r="I57" s="74"/>
      <c r="J57" s="74"/>
      <c r="K57" s="69"/>
      <c r="L57" s="84"/>
      <c r="M57" s="84"/>
      <c r="N57" s="84"/>
      <c r="O57" s="84"/>
      <c r="P57" s="95"/>
      <c r="Q57" s="72"/>
      <c r="R57" s="73"/>
      <c r="S57" s="90" t="n">
        <v>90</v>
      </c>
      <c r="T57" s="80"/>
      <c r="U57" s="74"/>
      <c r="V57" s="74"/>
      <c r="W57" s="74"/>
      <c r="X57" s="74"/>
      <c r="Y57" s="74"/>
      <c r="Z57" s="74"/>
      <c r="AA57" s="74"/>
      <c r="AB57" s="74"/>
      <c r="AC57" s="74"/>
      <c r="AD57" s="74"/>
      <c r="AE57" s="74"/>
      <c r="AF57" s="74"/>
      <c r="AG57" s="74"/>
      <c r="AH57" s="74"/>
      <c r="AI57" s="74"/>
      <c r="AJ57" s="74"/>
      <c r="AK57" s="74"/>
      <c r="AL57" s="74"/>
      <c r="AM57" s="74" t="e">
        <f aca="false">AVERAGE(U57:AC57)</f>
        <v>#DIV/0!</v>
      </c>
      <c r="AN57" s="92" t="n">
        <v>3.67</v>
      </c>
      <c r="AO57" s="139"/>
      <c r="AP57" s="75"/>
      <c r="AQ57" s="73" t="n">
        <f aca="false">AN57-(AN57-Q57)*(SIN((S57+AX57)*PI()/180))/(COS(AX57*PI()/180))</f>
        <v>0</v>
      </c>
      <c r="AR57" s="84" t="n">
        <f aca="false">H57+($M$1-M57)-(AN57-Q57)*(COS(S57*PI()/180))*(SIN((T57+13+2.3)*PI()/180))</f>
        <v>633905.233</v>
      </c>
      <c r="AS57" s="84" t="n">
        <f aca="false">I57+($N$1-N57)-(AN57-Q57)*(COS(S57*PI()/180))*(COS((T57+13+2.3)*PI()/180))</f>
        <v>3049240.448</v>
      </c>
      <c r="AT57" s="84" t="n">
        <f aca="false">J57+($O$1-O57)-R57+AN57-(AN57-Q57)*(SIN(S57*PI()/180))-L57</f>
        <v>56.28</v>
      </c>
      <c r="AU57" s="69"/>
      <c r="AV57" s="79"/>
      <c r="AW57" s="93" t="n">
        <f aca="false">AQ57-'Estacas Hurd'!AQ57</f>
        <v>-1.89</v>
      </c>
      <c r="AX57" s="80"/>
    </row>
    <row r="58" customFormat="false" ht="12.75" hidden="false" customHeight="true" outlineLevel="0" collapsed="false">
      <c r="A58" s="69" t="s">
        <v>167</v>
      </c>
      <c r="B58" s="69"/>
      <c r="C58" s="69"/>
      <c r="D58" s="69"/>
      <c r="E58" s="61"/>
      <c r="F58" s="81"/>
      <c r="G58" s="69"/>
      <c r="H58" s="73"/>
      <c r="I58" s="74"/>
      <c r="J58" s="74"/>
      <c r="K58" s="69"/>
      <c r="L58" s="84"/>
      <c r="M58" s="84"/>
      <c r="N58" s="84"/>
      <c r="O58" s="84"/>
      <c r="P58" s="95"/>
      <c r="Q58" s="72"/>
      <c r="R58" s="73"/>
      <c r="S58" s="90" t="n">
        <v>90</v>
      </c>
      <c r="T58" s="80"/>
      <c r="U58" s="74"/>
      <c r="V58" s="74"/>
      <c r="W58" s="74"/>
      <c r="X58" s="74"/>
      <c r="Y58" s="74"/>
      <c r="Z58" s="74"/>
      <c r="AA58" s="74"/>
      <c r="AB58" s="74"/>
      <c r="AC58" s="74"/>
      <c r="AD58" s="74"/>
      <c r="AE58" s="74"/>
      <c r="AF58" s="74"/>
      <c r="AG58" s="74"/>
      <c r="AH58" s="74"/>
      <c r="AI58" s="74"/>
      <c r="AJ58" s="74"/>
      <c r="AK58" s="74"/>
      <c r="AL58" s="74"/>
      <c r="AM58" s="74" t="e">
        <f aca="false">AVERAGE(U58:AC58)</f>
        <v>#DIV/0!</v>
      </c>
      <c r="AN58" s="92" t="n">
        <v>3.67</v>
      </c>
      <c r="AO58" s="139"/>
      <c r="AP58" s="75"/>
      <c r="AQ58" s="73" t="n">
        <f aca="false">AN58-(AN58-Q58)*(SIN((S58+AX58)*PI()/180))/(COS(AX58*PI()/180))</f>
        <v>0</v>
      </c>
      <c r="AR58" s="84" t="n">
        <f aca="false">H58+($M$1-M58)-(AN58-Q58)*(COS(S58*PI()/180))*(SIN((T58+13+2.3)*PI()/180))</f>
        <v>633905.233</v>
      </c>
      <c r="AS58" s="84" t="n">
        <f aca="false">I58+($N$1-N58)-(AN58-Q58)*(COS(S58*PI()/180))*(COS((T58+13+2.3)*PI()/180))</f>
        <v>3049240.448</v>
      </c>
      <c r="AT58" s="84" t="n">
        <f aca="false">J58+($O$1-O58)-R58+AN58-(AN58-Q58)*(SIN(S58*PI()/180))-L58</f>
        <v>56.28</v>
      </c>
      <c r="AU58" s="69"/>
      <c r="AV58" s="79"/>
      <c r="AW58" s="93" t="n">
        <f aca="false">AQ58-'Estacas Hurd'!AQ58</f>
        <v>-0.64</v>
      </c>
      <c r="AX58" s="80"/>
    </row>
    <row r="59" customFormat="false" ht="12.75" hidden="false" customHeight="true" outlineLevel="0" collapsed="false">
      <c r="A59" s="69" t="s">
        <v>169</v>
      </c>
      <c r="B59" s="69"/>
      <c r="C59" s="69"/>
      <c r="D59" s="69"/>
      <c r="E59" s="61"/>
      <c r="F59" s="81"/>
      <c r="G59" s="69"/>
      <c r="H59" s="73"/>
      <c r="I59" s="74"/>
      <c r="J59" s="74"/>
      <c r="K59" s="69"/>
      <c r="L59" s="84"/>
      <c r="M59" s="84"/>
      <c r="N59" s="84"/>
      <c r="O59" s="84"/>
      <c r="P59" s="95"/>
      <c r="Q59" s="72"/>
      <c r="R59" s="73"/>
      <c r="S59" s="90" t="n">
        <v>90</v>
      </c>
      <c r="T59" s="80"/>
      <c r="U59" s="74"/>
      <c r="V59" s="74"/>
      <c r="W59" s="74"/>
      <c r="X59" s="74"/>
      <c r="Y59" s="74"/>
      <c r="Z59" s="74"/>
      <c r="AA59" s="74"/>
      <c r="AB59" s="74"/>
      <c r="AC59" s="74"/>
      <c r="AD59" s="74"/>
      <c r="AE59" s="74"/>
      <c r="AF59" s="74"/>
      <c r="AG59" s="74"/>
      <c r="AH59" s="74"/>
      <c r="AI59" s="74"/>
      <c r="AJ59" s="74"/>
      <c r="AK59" s="74"/>
      <c r="AL59" s="74"/>
      <c r="AM59" s="74" t="e">
        <f aca="false">AVERAGE(U59:AC59)</f>
        <v>#DIV/0!</v>
      </c>
      <c r="AN59" s="92" t="n">
        <v>3.67</v>
      </c>
      <c r="AO59" s="139"/>
      <c r="AP59" s="75"/>
      <c r="AQ59" s="73" t="n">
        <f aca="false">AN59-(AN59-Q59)*(SIN((S59+AX59)*PI()/180))/(COS(AX59*PI()/180))</f>
        <v>0</v>
      </c>
      <c r="AR59" s="84" t="n">
        <f aca="false">H59+($M$1-M59)-(AN59-Q59)*(COS(S59*PI()/180))*(SIN((T59+13+2.3)*PI()/180))</f>
        <v>633905.233</v>
      </c>
      <c r="AS59" s="84" t="n">
        <f aca="false">I59+($N$1-N59)-(AN59-Q59)*(COS(S59*PI()/180))*(COS((T59+13+2.3)*PI()/180))</f>
        <v>3049240.448</v>
      </c>
      <c r="AT59" s="84" t="n">
        <f aca="false">J59+($O$1-O59)-R59+AN59-(AN59-Q59)*(SIN(S59*PI()/180))-L59</f>
        <v>56.28</v>
      </c>
      <c r="AU59" s="69"/>
      <c r="AV59" s="79"/>
      <c r="AW59" s="93" t="n">
        <f aca="false">AQ59-'Estacas Hurd'!AQ59</f>
        <v>-1.89</v>
      </c>
      <c r="AX59" s="80"/>
    </row>
    <row r="60" customFormat="false" ht="12.75" hidden="false" customHeight="true" outlineLevel="0" collapsed="false">
      <c r="A60" s="69" t="s">
        <v>170</v>
      </c>
      <c r="B60" s="69"/>
      <c r="C60" s="69"/>
      <c r="D60" s="69"/>
      <c r="E60" s="61"/>
      <c r="F60" s="81"/>
      <c r="G60" s="69"/>
      <c r="H60" s="73"/>
      <c r="I60" s="74"/>
      <c r="J60" s="74"/>
      <c r="K60" s="69"/>
      <c r="L60" s="84"/>
      <c r="M60" s="84"/>
      <c r="N60" s="84"/>
      <c r="O60" s="84"/>
      <c r="P60" s="95"/>
      <c r="Q60" s="72"/>
      <c r="R60" s="73"/>
      <c r="S60" s="90" t="n">
        <v>90</v>
      </c>
      <c r="T60" s="80"/>
      <c r="U60" s="74"/>
      <c r="V60" s="74"/>
      <c r="W60" s="74"/>
      <c r="X60" s="74"/>
      <c r="Y60" s="74"/>
      <c r="Z60" s="74"/>
      <c r="AA60" s="74"/>
      <c r="AB60" s="74"/>
      <c r="AC60" s="74"/>
      <c r="AD60" s="74"/>
      <c r="AE60" s="74"/>
      <c r="AF60" s="74"/>
      <c r="AG60" s="74"/>
      <c r="AH60" s="74"/>
      <c r="AI60" s="74"/>
      <c r="AJ60" s="74"/>
      <c r="AK60" s="74"/>
      <c r="AL60" s="74"/>
      <c r="AM60" s="74" t="e">
        <f aca="false">AVERAGE(U60:AC60)</f>
        <v>#DIV/0!</v>
      </c>
      <c r="AN60" s="92" t="n">
        <v>3.67</v>
      </c>
      <c r="AO60" s="139"/>
      <c r="AP60" s="75"/>
      <c r="AQ60" s="73" t="n">
        <f aca="false">AN60-(AN60-Q60)*(SIN((S60+AX60)*PI()/180))/(COS(AX60*PI()/180))</f>
        <v>0</v>
      </c>
      <c r="AR60" s="84" t="n">
        <f aca="false">H60+($M$1-M60)-(AN60-Q60)*(COS(S60*PI()/180))*(SIN((T60+13+2.3)*PI()/180))</f>
        <v>633905.233</v>
      </c>
      <c r="AS60" s="84" t="n">
        <f aca="false">I60+($N$1-N60)-(AN60-Q60)*(COS(S60*PI()/180))*(COS((T60+13+2.3)*PI()/180))</f>
        <v>3049240.448</v>
      </c>
      <c r="AT60" s="84" t="n">
        <f aca="false">J60+($O$1-O60)-R60+AN60-(AN60-Q60)*(SIN(S60*PI()/180))-L60</f>
        <v>56.28</v>
      </c>
      <c r="AU60" s="69"/>
      <c r="AV60" s="79"/>
      <c r="AW60" s="93" t="n">
        <f aca="false">AQ60-'Estacas Hurd'!AQ60</f>
        <v>-2.68</v>
      </c>
      <c r="AX60" s="80"/>
    </row>
    <row r="61" customFormat="false" ht="12.75" hidden="false" customHeight="true" outlineLevel="0" collapsed="false">
      <c r="A61" s="96" t="s">
        <v>172</v>
      </c>
      <c r="B61" s="96"/>
      <c r="C61" s="96"/>
      <c r="D61" s="96"/>
      <c r="E61" s="111"/>
      <c r="F61" s="135"/>
      <c r="G61" s="96"/>
      <c r="H61" s="104"/>
      <c r="I61" s="97"/>
      <c r="J61" s="97"/>
      <c r="K61" s="96"/>
      <c r="L61" s="99"/>
      <c r="M61" s="101"/>
      <c r="N61" s="101"/>
      <c r="O61" s="101"/>
      <c r="P61" s="102"/>
      <c r="Q61" s="103"/>
      <c r="R61" s="104"/>
      <c r="S61" s="105"/>
      <c r="T61" s="105"/>
      <c r="U61" s="97"/>
      <c r="V61" s="97"/>
      <c r="W61" s="97"/>
      <c r="X61" s="97"/>
      <c r="Y61" s="97"/>
      <c r="Z61" s="97"/>
      <c r="AA61" s="97"/>
      <c r="AB61" s="97"/>
      <c r="AC61" s="97"/>
      <c r="AD61" s="97"/>
      <c r="AE61" s="97"/>
      <c r="AF61" s="97"/>
      <c r="AG61" s="97"/>
      <c r="AH61" s="97"/>
      <c r="AI61" s="97"/>
      <c r="AJ61" s="97"/>
      <c r="AK61" s="97"/>
      <c r="AL61" s="97"/>
      <c r="AM61" s="97"/>
      <c r="AN61" s="107"/>
      <c r="AO61" s="136"/>
      <c r="AP61" s="109"/>
      <c r="AQ61" s="104"/>
      <c r="AR61" s="99"/>
      <c r="AS61" s="99"/>
      <c r="AT61" s="99"/>
      <c r="AU61" s="96"/>
      <c r="AV61" s="110"/>
      <c r="AW61" s="137"/>
      <c r="AX61" s="105"/>
    </row>
    <row r="62" customFormat="false" ht="12.75" hidden="false" customHeight="true" outlineLevel="0" collapsed="false">
      <c r="A62" s="96" t="s">
        <v>173</v>
      </c>
      <c r="B62" s="96"/>
      <c r="C62" s="96"/>
      <c r="D62" s="96"/>
      <c r="E62" s="111"/>
      <c r="F62" s="135"/>
      <c r="G62" s="96"/>
      <c r="H62" s="104"/>
      <c r="I62" s="97"/>
      <c r="J62" s="97"/>
      <c r="K62" s="96"/>
      <c r="L62" s="99"/>
      <c r="M62" s="101"/>
      <c r="N62" s="101"/>
      <c r="O62" s="101"/>
      <c r="P62" s="102"/>
      <c r="Q62" s="103"/>
      <c r="R62" s="104"/>
      <c r="S62" s="105"/>
      <c r="T62" s="105"/>
      <c r="U62" s="97"/>
      <c r="V62" s="97"/>
      <c r="W62" s="97"/>
      <c r="X62" s="97"/>
      <c r="Y62" s="97"/>
      <c r="Z62" s="97"/>
      <c r="AA62" s="97"/>
      <c r="AB62" s="97"/>
      <c r="AC62" s="97"/>
      <c r="AD62" s="97"/>
      <c r="AE62" s="97"/>
      <c r="AF62" s="97"/>
      <c r="AG62" s="97"/>
      <c r="AH62" s="97"/>
      <c r="AI62" s="97"/>
      <c r="AJ62" s="97"/>
      <c r="AK62" s="97"/>
      <c r="AL62" s="97"/>
      <c r="AM62" s="97"/>
      <c r="AN62" s="107"/>
      <c r="AO62" s="136"/>
      <c r="AP62" s="109"/>
      <c r="AQ62" s="104"/>
      <c r="AR62" s="99"/>
      <c r="AS62" s="99"/>
      <c r="AT62" s="99"/>
      <c r="AU62" s="96"/>
      <c r="AV62" s="110"/>
      <c r="AW62" s="137"/>
      <c r="AX62" s="105"/>
    </row>
    <row r="63" customFormat="false" ht="12.75" hidden="false" customHeight="true" outlineLevel="0" collapsed="false">
      <c r="A63" s="69" t="s">
        <v>174</v>
      </c>
      <c r="B63" s="69"/>
      <c r="C63" s="69"/>
      <c r="D63" s="69"/>
      <c r="E63" s="61"/>
      <c r="F63" s="81"/>
      <c r="G63" s="69"/>
      <c r="H63" s="73"/>
      <c r="I63" s="74"/>
      <c r="J63" s="74"/>
      <c r="K63" s="69"/>
      <c r="L63" s="84"/>
      <c r="M63" s="85"/>
      <c r="N63" s="85"/>
      <c r="O63" s="85"/>
      <c r="P63" s="95"/>
      <c r="Q63" s="72"/>
      <c r="R63" s="73"/>
      <c r="S63" s="90" t="n">
        <v>90</v>
      </c>
      <c r="T63" s="80"/>
      <c r="U63" s="74"/>
      <c r="V63" s="74"/>
      <c r="W63" s="74"/>
      <c r="X63" s="74"/>
      <c r="Y63" s="74"/>
      <c r="Z63" s="74"/>
      <c r="AA63" s="74"/>
      <c r="AB63" s="74"/>
      <c r="AC63" s="74"/>
      <c r="AD63" s="74"/>
      <c r="AE63" s="74"/>
      <c r="AF63" s="74"/>
      <c r="AG63" s="74"/>
      <c r="AH63" s="74"/>
      <c r="AI63" s="74"/>
      <c r="AJ63" s="74"/>
      <c r="AK63" s="74"/>
      <c r="AL63" s="74"/>
      <c r="AM63" s="134" t="e">
        <f aca="false">AVERAGE(U63:AC63)</f>
        <v>#DIV/0!</v>
      </c>
      <c r="AN63" s="92" t="n">
        <v>3.67</v>
      </c>
      <c r="AP63" s="75"/>
      <c r="AQ63" s="73" t="n">
        <f aca="false">AN63-(AN63-Q63)*(SIN((S63+AX63)*PI()/180))/(COS(AX63*PI()/180))</f>
        <v>0</v>
      </c>
      <c r="AR63" s="84" t="n">
        <f aca="false">H63+($M$1-M63)-(AN63-Q63)*(COS(S63*PI()/180))*(SIN((T63+13+2.3)*PI()/180))</f>
        <v>633905.233</v>
      </c>
      <c r="AS63" s="84" t="n">
        <f aca="false">I63+($N$1-N63)-(AN63-Q63)*(COS(S63*PI()/180))*(COS((T63+13+2.3)*PI()/180))</f>
        <v>3049240.448</v>
      </c>
      <c r="AT63" s="84" t="n">
        <f aca="false">J63+($O$1-O63)-R63+AN63-(AN63-Q63)*(SIN(S63*PI()/180))-L63</f>
        <v>56.28</v>
      </c>
      <c r="AU63" s="69"/>
      <c r="AV63" s="79"/>
      <c r="AW63" s="93" t="n">
        <f aca="false">AQ63-'Estacas Hurd'!AQ63</f>
        <v>-1.71</v>
      </c>
      <c r="AX63" s="80"/>
    </row>
    <row r="64" customFormat="false" ht="12.75" hidden="false" customHeight="true" outlineLevel="0" collapsed="false">
      <c r="A64" s="96" t="s">
        <v>176</v>
      </c>
      <c r="B64" s="96"/>
      <c r="C64" s="96"/>
      <c r="D64" s="96"/>
      <c r="E64" s="111"/>
      <c r="F64" s="135"/>
      <c r="G64" s="96"/>
      <c r="H64" s="104"/>
      <c r="I64" s="97"/>
      <c r="J64" s="97"/>
      <c r="K64" s="96"/>
      <c r="L64" s="99"/>
      <c r="M64" s="101"/>
      <c r="N64" s="101"/>
      <c r="O64" s="101"/>
      <c r="P64" s="102"/>
      <c r="Q64" s="103"/>
      <c r="R64" s="104"/>
      <c r="S64" s="105"/>
      <c r="T64" s="105"/>
      <c r="U64" s="97"/>
      <c r="V64" s="97"/>
      <c r="W64" s="97"/>
      <c r="X64" s="97"/>
      <c r="Y64" s="97"/>
      <c r="Z64" s="97"/>
      <c r="AA64" s="97"/>
      <c r="AB64" s="97"/>
      <c r="AC64" s="97"/>
      <c r="AD64" s="97"/>
      <c r="AE64" s="97"/>
      <c r="AF64" s="97"/>
      <c r="AG64" s="97"/>
      <c r="AH64" s="97"/>
      <c r="AI64" s="97"/>
      <c r="AJ64" s="97"/>
      <c r="AK64" s="97"/>
      <c r="AL64" s="97"/>
      <c r="AM64" s="97"/>
      <c r="AN64" s="107"/>
      <c r="AO64" s="136"/>
      <c r="AP64" s="109"/>
      <c r="AQ64" s="104"/>
      <c r="AR64" s="99"/>
      <c r="AS64" s="99"/>
      <c r="AT64" s="99"/>
      <c r="AU64" s="96"/>
      <c r="AV64" s="110"/>
      <c r="AW64" s="137"/>
      <c r="AX64" s="105"/>
    </row>
    <row r="65" customFormat="false" ht="12.75" hidden="false" customHeight="true" outlineLevel="0" collapsed="false">
      <c r="A65" s="69" t="s">
        <v>177</v>
      </c>
      <c r="B65" s="69"/>
      <c r="C65" s="69"/>
      <c r="D65" s="69"/>
      <c r="E65" s="61"/>
      <c r="F65" s="81"/>
      <c r="G65" s="69"/>
      <c r="H65" s="73"/>
      <c r="I65" s="74"/>
      <c r="J65" s="74"/>
      <c r="K65" s="69"/>
      <c r="L65" s="84"/>
      <c r="M65" s="85"/>
      <c r="N65" s="85"/>
      <c r="O65" s="85"/>
      <c r="P65" s="95"/>
      <c r="Q65" s="72"/>
      <c r="R65" s="73"/>
      <c r="S65" s="90" t="n">
        <v>90</v>
      </c>
      <c r="T65" s="80"/>
      <c r="U65" s="74"/>
      <c r="V65" s="74"/>
      <c r="W65" s="74"/>
      <c r="X65" s="74"/>
      <c r="Y65" s="74"/>
      <c r="Z65" s="74"/>
      <c r="AA65" s="74"/>
      <c r="AB65" s="74"/>
      <c r="AC65" s="74"/>
      <c r="AD65" s="74"/>
      <c r="AE65" s="74"/>
      <c r="AF65" s="74"/>
      <c r="AG65" s="74"/>
      <c r="AH65" s="74"/>
      <c r="AI65" s="74"/>
      <c r="AJ65" s="74"/>
      <c r="AK65" s="74"/>
      <c r="AL65" s="74"/>
      <c r="AM65" s="134" t="e">
        <f aca="false">AVERAGE(U65:AC65)</f>
        <v>#DIV/0!</v>
      </c>
      <c r="AN65" s="92" t="n">
        <v>3.67</v>
      </c>
      <c r="AP65" s="75"/>
      <c r="AQ65" s="73" t="n">
        <f aca="false">AN65-(AN65-Q65)*(SIN((S65+AX65)*PI()/180))/(COS(AX65*PI()/180))</f>
        <v>0</v>
      </c>
      <c r="AR65" s="84" t="n">
        <f aca="false">H65+($M$1-M65)-(AN65-Q65)*(COS(S65*PI()/180))*(SIN((T65+13+2.3)*PI()/180))</f>
        <v>633905.233</v>
      </c>
      <c r="AS65" s="84" t="n">
        <f aca="false">I65+($N$1-N65)-(AN65-Q65)*(COS(S65*PI()/180))*(COS((T65+13+2.3)*PI()/180))</f>
        <v>3049240.448</v>
      </c>
      <c r="AT65" s="84" t="n">
        <f aca="false">J65+($O$1-O65)-R65+AN65-(AN65-Q65)*(SIN(S65*PI()/180))-L65</f>
        <v>56.28</v>
      </c>
      <c r="AU65" s="69"/>
      <c r="AV65" s="79"/>
      <c r="AW65" s="93" t="n">
        <f aca="false">AQ65-'Estacas Hurd'!AQ65</f>
        <v>-1.85</v>
      </c>
      <c r="AX65" s="80"/>
    </row>
    <row r="66" customFormat="false" ht="12.75" hidden="false" customHeight="true" outlineLevel="0" collapsed="false">
      <c r="A66" s="96" t="s">
        <v>178</v>
      </c>
      <c r="B66" s="96"/>
      <c r="C66" s="96"/>
      <c r="D66" s="96"/>
      <c r="E66" s="111"/>
      <c r="F66" s="135"/>
      <c r="G66" s="96"/>
      <c r="H66" s="104"/>
      <c r="I66" s="97"/>
      <c r="J66" s="97"/>
      <c r="K66" s="96"/>
      <c r="L66" s="99"/>
      <c r="M66" s="101"/>
      <c r="N66" s="101"/>
      <c r="O66" s="101"/>
      <c r="P66" s="102"/>
      <c r="Q66" s="103"/>
      <c r="R66" s="104"/>
      <c r="S66" s="105"/>
      <c r="T66" s="105"/>
      <c r="U66" s="97"/>
      <c r="V66" s="97"/>
      <c r="W66" s="97"/>
      <c r="X66" s="97"/>
      <c r="Y66" s="97"/>
      <c r="Z66" s="97"/>
      <c r="AA66" s="97"/>
      <c r="AB66" s="97"/>
      <c r="AC66" s="97"/>
      <c r="AD66" s="97"/>
      <c r="AE66" s="97"/>
      <c r="AF66" s="97"/>
      <c r="AG66" s="97"/>
      <c r="AH66" s="97"/>
      <c r="AI66" s="97"/>
      <c r="AJ66" s="97"/>
      <c r="AK66" s="97"/>
      <c r="AL66" s="97"/>
      <c r="AM66" s="97"/>
      <c r="AN66" s="107"/>
      <c r="AO66" s="136"/>
      <c r="AP66" s="109"/>
      <c r="AQ66" s="104"/>
      <c r="AR66" s="99"/>
      <c r="AS66" s="99"/>
      <c r="AT66" s="99"/>
      <c r="AU66" s="96"/>
      <c r="AV66" s="110"/>
      <c r="AW66" s="137"/>
      <c r="AX66" s="105"/>
    </row>
    <row r="67" customFormat="false" ht="12.75" hidden="false" customHeight="true" outlineLevel="0" collapsed="false">
      <c r="A67" s="96" t="s">
        <v>179</v>
      </c>
      <c r="B67" s="96"/>
      <c r="C67" s="96"/>
      <c r="D67" s="96"/>
      <c r="E67" s="111"/>
      <c r="F67" s="135"/>
      <c r="G67" s="96"/>
      <c r="H67" s="104"/>
      <c r="I67" s="97"/>
      <c r="J67" s="97"/>
      <c r="K67" s="96"/>
      <c r="L67" s="99"/>
      <c r="M67" s="101"/>
      <c r="N67" s="101"/>
      <c r="O67" s="101"/>
      <c r="P67" s="102"/>
      <c r="Q67" s="103"/>
      <c r="R67" s="104"/>
      <c r="S67" s="105"/>
      <c r="T67" s="105"/>
      <c r="U67" s="97"/>
      <c r="V67" s="97"/>
      <c r="W67" s="97"/>
      <c r="X67" s="97"/>
      <c r="Y67" s="97"/>
      <c r="Z67" s="97"/>
      <c r="AA67" s="97"/>
      <c r="AB67" s="97"/>
      <c r="AC67" s="97"/>
      <c r="AD67" s="97"/>
      <c r="AE67" s="97"/>
      <c r="AF67" s="97"/>
      <c r="AG67" s="97"/>
      <c r="AH67" s="97"/>
      <c r="AI67" s="97"/>
      <c r="AJ67" s="97"/>
      <c r="AK67" s="97"/>
      <c r="AL67" s="97"/>
      <c r="AM67" s="97"/>
      <c r="AN67" s="107"/>
      <c r="AO67" s="136"/>
      <c r="AP67" s="109"/>
      <c r="AQ67" s="104"/>
      <c r="AR67" s="99"/>
      <c r="AS67" s="99"/>
      <c r="AT67" s="99"/>
      <c r="AU67" s="96"/>
      <c r="AV67" s="110"/>
      <c r="AW67" s="137"/>
      <c r="AX67" s="105"/>
    </row>
    <row r="68" customFormat="false" ht="12.75" hidden="false" customHeight="true" outlineLevel="0" collapsed="false">
      <c r="A68" s="69" t="s">
        <v>180</v>
      </c>
      <c r="B68" s="69"/>
      <c r="C68" s="69"/>
      <c r="D68" s="69"/>
      <c r="E68" s="61"/>
      <c r="F68" s="81"/>
      <c r="G68" s="69"/>
      <c r="H68" s="74"/>
      <c r="I68" s="74"/>
      <c r="J68" s="74"/>
      <c r="K68" s="69"/>
      <c r="L68" s="84"/>
      <c r="M68" s="85"/>
      <c r="N68" s="85"/>
      <c r="O68" s="85"/>
      <c r="P68" s="95"/>
      <c r="Q68" s="72"/>
      <c r="R68" s="73"/>
      <c r="S68" s="90" t="n">
        <v>90</v>
      </c>
      <c r="T68" s="80"/>
      <c r="U68" s="74"/>
      <c r="V68" s="74"/>
      <c r="W68" s="74"/>
      <c r="X68" s="74"/>
      <c r="Y68" s="74"/>
      <c r="Z68" s="74"/>
      <c r="AA68" s="74"/>
      <c r="AB68" s="74"/>
      <c r="AC68" s="74"/>
      <c r="AD68" s="74"/>
      <c r="AE68" s="74"/>
      <c r="AF68" s="74"/>
      <c r="AG68" s="74"/>
      <c r="AH68" s="74"/>
      <c r="AI68" s="74"/>
      <c r="AJ68" s="74"/>
      <c r="AK68" s="74"/>
      <c r="AL68" s="74"/>
      <c r="AM68" s="134" t="e">
        <f aca="false">AVERAGE(U68:AC68)</f>
        <v>#DIV/0!</v>
      </c>
      <c r="AN68" s="92" t="n">
        <v>3.67</v>
      </c>
      <c r="AP68" s="75"/>
      <c r="AQ68" s="73" t="n">
        <f aca="false">AN68-(AN68-Q68)*(SIN((S68+AX68)*PI()/180))/(COS(AX68*PI()/180))</f>
        <v>0</v>
      </c>
      <c r="AR68" s="84" t="n">
        <f aca="false">H68+($M$1-M68)-(AN68-Q68)*(COS(S68*PI()/180))*(SIN((T68+13+2.3)*PI()/180))</f>
        <v>633905.233</v>
      </c>
      <c r="AS68" s="84" t="n">
        <f aca="false">I68+($N$1-N68)-(AN68-Q68)*(COS(S68*PI()/180))*(COS((T68+13+2.3)*PI()/180))</f>
        <v>3049240.448</v>
      </c>
      <c r="AT68" s="84" t="n">
        <f aca="false">J68+($O$1-O68)-R68+AN68-(AN68-Q68)*(SIN(S68*PI()/180))-L68</f>
        <v>56.28</v>
      </c>
      <c r="AU68" s="69"/>
      <c r="AV68" s="79"/>
      <c r="AW68" s="93" t="n">
        <f aca="false">AQ68-'Estacas Hurd'!AQ68</f>
        <v>-1.21</v>
      </c>
      <c r="AX68" s="80"/>
    </row>
    <row r="69" customFormat="false" ht="12.75" hidden="false" customHeight="true" outlineLevel="0" collapsed="false">
      <c r="A69" s="96" t="s">
        <v>182</v>
      </c>
      <c r="B69" s="96"/>
      <c r="C69" s="96"/>
      <c r="D69" s="96"/>
      <c r="E69" s="111"/>
      <c r="F69" s="135"/>
      <c r="G69" s="96"/>
      <c r="H69" s="104"/>
      <c r="I69" s="97"/>
      <c r="J69" s="97"/>
      <c r="K69" s="96"/>
      <c r="L69" s="99"/>
      <c r="M69" s="101"/>
      <c r="N69" s="101"/>
      <c r="O69" s="101"/>
      <c r="P69" s="102"/>
      <c r="Q69" s="103"/>
      <c r="R69" s="104"/>
      <c r="S69" s="105"/>
      <c r="T69" s="105"/>
      <c r="U69" s="97"/>
      <c r="V69" s="97"/>
      <c r="W69" s="97"/>
      <c r="X69" s="97"/>
      <c r="Y69" s="97"/>
      <c r="Z69" s="97"/>
      <c r="AA69" s="97"/>
      <c r="AB69" s="97"/>
      <c r="AC69" s="97"/>
      <c r="AD69" s="97"/>
      <c r="AE69" s="97"/>
      <c r="AF69" s="97"/>
      <c r="AG69" s="97"/>
      <c r="AH69" s="97"/>
      <c r="AI69" s="97"/>
      <c r="AJ69" s="97"/>
      <c r="AK69" s="97"/>
      <c r="AL69" s="97"/>
      <c r="AM69" s="97"/>
      <c r="AN69" s="107"/>
      <c r="AO69" s="136"/>
      <c r="AP69" s="109"/>
      <c r="AQ69" s="104"/>
      <c r="AR69" s="99"/>
      <c r="AS69" s="99"/>
      <c r="AT69" s="99"/>
      <c r="AU69" s="96"/>
      <c r="AV69" s="110"/>
      <c r="AW69" s="137"/>
      <c r="AX69" s="105"/>
    </row>
    <row r="70" customFormat="false" ht="12.75" hidden="false" customHeight="true" outlineLevel="0" collapsed="false">
      <c r="A70" s="69" t="s">
        <v>183</v>
      </c>
      <c r="B70" s="69"/>
      <c r="C70" s="69"/>
      <c r="D70" s="69"/>
      <c r="E70" s="61"/>
      <c r="F70" s="81"/>
      <c r="G70" s="69"/>
      <c r="H70" s="74"/>
      <c r="I70" s="74"/>
      <c r="J70" s="74"/>
      <c r="K70" s="69"/>
      <c r="L70" s="84"/>
      <c r="M70" s="85"/>
      <c r="N70" s="85"/>
      <c r="O70" s="85"/>
      <c r="P70" s="95"/>
      <c r="Q70" s="72"/>
      <c r="R70" s="73"/>
      <c r="S70" s="90" t="n">
        <v>90</v>
      </c>
      <c r="T70" s="80"/>
      <c r="U70" s="74"/>
      <c r="V70" s="74"/>
      <c r="W70" s="74"/>
      <c r="X70" s="74"/>
      <c r="Y70" s="74"/>
      <c r="Z70" s="74"/>
      <c r="AA70" s="74"/>
      <c r="AB70" s="74"/>
      <c r="AC70" s="74"/>
      <c r="AD70" s="74"/>
      <c r="AE70" s="74"/>
      <c r="AF70" s="74"/>
      <c r="AG70" s="74"/>
      <c r="AH70" s="74"/>
      <c r="AI70" s="74"/>
      <c r="AJ70" s="74"/>
      <c r="AK70" s="74"/>
      <c r="AL70" s="74"/>
      <c r="AM70" s="134" t="e">
        <f aca="false">AVERAGE(U70:AC70)</f>
        <v>#DIV/0!</v>
      </c>
      <c r="AN70" s="92" t="n">
        <v>3.67</v>
      </c>
      <c r="AP70" s="75"/>
      <c r="AQ70" s="73" t="n">
        <f aca="false">AN70-(AN70-Q70)*(SIN((S70+AX70)*PI()/180))/(COS(AX70*PI()/180))</f>
        <v>0</v>
      </c>
      <c r="AR70" s="84" t="n">
        <f aca="false">H70+($M$1-M70)-(AN70-Q70)*(COS(S70*PI()/180))*(SIN((T70+13+2.3)*PI()/180))</f>
        <v>633905.233</v>
      </c>
      <c r="AS70" s="84" t="n">
        <f aca="false">I70+($N$1-N70)-(AN70-Q70)*(COS(S70*PI()/180))*(COS((T70+13+2.3)*PI()/180))</f>
        <v>3049240.448</v>
      </c>
      <c r="AT70" s="84" t="n">
        <f aca="false">J70+($O$1-O70)-R70+AN70-(AN70-Q70)*(SIN(S70*PI()/180))-L70</f>
        <v>56.28</v>
      </c>
      <c r="AU70" s="69"/>
      <c r="AV70" s="79"/>
      <c r="AW70" s="93" t="n">
        <f aca="false">AQ70-'Estacas Hurd'!AQ70</f>
        <v>-1.66</v>
      </c>
      <c r="AX70" s="80"/>
    </row>
    <row r="71" customFormat="false" ht="12.75" hidden="false" customHeight="true" outlineLevel="0" collapsed="false">
      <c r="A71" s="96" t="s">
        <v>184</v>
      </c>
      <c r="B71" s="96"/>
      <c r="C71" s="96"/>
      <c r="D71" s="96"/>
      <c r="E71" s="111"/>
      <c r="F71" s="135"/>
      <c r="G71" s="96"/>
      <c r="H71" s="104"/>
      <c r="I71" s="97"/>
      <c r="J71" s="97"/>
      <c r="K71" s="96"/>
      <c r="L71" s="99"/>
      <c r="M71" s="101"/>
      <c r="N71" s="101"/>
      <c r="O71" s="101"/>
      <c r="P71" s="102"/>
      <c r="Q71" s="103"/>
      <c r="R71" s="104"/>
      <c r="S71" s="105"/>
      <c r="T71" s="105"/>
      <c r="U71" s="97"/>
      <c r="V71" s="97"/>
      <c r="W71" s="97"/>
      <c r="X71" s="97"/>
      <c r="Y71" s="97"/>
      <c r="Z71" s="97"/>
      <c r="AA71" s="97"/>
      <c r="AB71" s="97"/>
      <c r="AC71" s="97"/>
      <c r="AD71" s="97"/>
      <c r="AE71" s="97"/>
      <c r="AF71" s="97"/>
      <c r="AG71" s="97"/>
      <c r="AH71" s="97"/>
      <c r="AI71" s="97"/>
      <c r="AJ71" s="97"/>
      <c r="AK71" s="97"/>
      <c r="AL71" s="97"/>
      <c r="AM71" s="97"/>
      <c r="AN71" s="107"/>
      <c r="AO71" s="136"/>
      <c r="AP71" s="109"/>
      <c r="AQ71" s="104"/>
      <c r="AR71" s="99"/>
      <c r="AS71" s="99"/>
      <c r="AT71" s="99"/>
      <c r="AU71" s="96"/>
      <c r="AV71" s="110"/>
      <c r="AW71" s="137"/>
      <c r="AX71" s="105"/>
    </row>
    <row r="72" customFormat="false" ht="12.75" hidden="false" customHeight="true" outlineLevel="0" collapsed="false">
      <c r="A72" s="69" t="s">
        <v>185</v>
      </c>
      <c r="B72" s="69"/>
      <c r="C72" s="69"/>
      <c r="D72" s="69"/>
      <c r="E72" s="61"/>
      <c r="F72" s="81"/>
      <c r="G72" s="69"/>
      <c r="H72" s="74"/>
      <c r="I72" s="74"/>
      <c r="J72" s="74"/>
      <c r="K72" s="69"/>
      <c r="L72" s="84"/>
      <c r="M72" s="84"/>
      <c r="N72" s="84"/>
      <c r="O72" s="84"/>
      <c r="P72" s="95"/>
      <c r="Q72" s="72"/>
      <c r="R72" s="73"/>
      <c r="S72" s="90" t="n">
        <v>90</v>
      </c>
      <c r="T72" s="80"/>
      <c r="U72" s="74"/>
      <c r="V72" s="74"/>
      <c r="W72" s="74"/>
      <c r="X72" s="74"/>
      <c r="Y72" s="74"/>
      <c r="Z72" s="74"/>
      <c r="AA72" s="74"/>
      <c r="AB72" s="74"/>
      <c r="AC72" s="74"/>
      <c r="AD72" s="74"/>
      <c r="AE72" s="74"/>
      <c r="AF72" s="74"/>
      <c r="AG72" s="74"/>
      <c r="AH72" s="74"/>
      <c r="AI72" s="74"/>
      <c r="AJ72" s="74"/>
      <c r="AK72" s="74"/>
      <c r="AL72" s="74"/>
      <c r="AM72" s="134" t="e">
        <f aca="false">AVERAGE(U72:AC72)</f>
        <v>#DIV/0!</v>
      </c>
      <c r="AN72" s="92" t="n">
        <v>3.67</v>
      </c>
      <c r="AP72" s="75"/>
      <c r="AQ72" s="73" t="n">
        <f aca="false">AN72-(AN72-Q72)*(SIN((S72+AX72)*PI()/180))/(COS(AX72*PI()/180))</f>
        <v>0</v>
      </c>
      <c r="AR72" s="84" t="n">
        <f aca="false">H72+($M$1-M72)-(AN72-Q72)*(COS(S72*PI()/180))*(SIN((T72+13+2.3)*PI()/180))</f>
        <v>633905.233</v>
      </c>
      <c r="AS72" s="84" t="n">
        <f aca="false">I72+($N$1-N72)-(AN72-Q72)*(COS(S72*PI()/180))*(COS((T72+13+2.3)*PI()/180))</f>
        <v>3049240.448</v>
      </c>
      <c r="AT72" s="84" t="n">
        <f aca="false">J72+($O$1-O72)-R72+AN72-(AN72-Q72)*(SIN(S72*PI()/180))-L72</f>
        <v>56.28</v>
      </c>
      <c r="AU72" s="69"/>
      <c r="AV72" s="79"/>
      <c r="AW72" s="93" t="n">
        <f aca="false">AQ72-'Estacas Hurd'!AQ72</f>
        <v>-1.96</v>
      </c>
      <c r="AX72" s="80"/>
    </row>
    <row r="73" customFormat="false" ht="12.75" hidden="false" customHeight="true" outlineLevel="0" collapsed="false">
      <c r="A73" s="96" t="s">
        <v>186</v>
      </c>
      <c r="B73" s="96"/>
      <c r="C73" s="96"/>
      <c r="D73" s="96"/>
      <c r="E73" s="111"/>
      <c r="F73" s="135"/>
      <c r="G73" s="96"/>
      <c r="H73" s="104"/>
      <c r="I73" s="97"/>
      <c r="J73" s="97"/>
      <c r="K73" s="96"/>
      <c r="L73" s="99"/>
      <c r="M73" s="101"/>
      <c r="N73" s="101"/>
      <c r="O73" s="101"/>
      <c r="P73" s="102"/>
      <c r="Q73" s="103"/>
      <c r="R73" s="104"/>
      <c r="S73" s="105"/>
      <c r="T73" s="105"/>
      <c r="U73" s="97"/>
      <c r="V73" s="97"/>
      <c r="W73" s="97"/>
      <c r="X73" s="97"/>
      <c r="Y73" s="97"/>
      <c r="Z73" s="97"/>
      <c r="AA73" s="97"/>
      <c r="AB73" s="97"/>
      <c r="AC73" s="97"/>
      <c r="AD73" s="97"/>
      <c r="AE73" s="97"/>
      <c r="AF73" s="97"/>
      <c r="AG73" s="97"/>
      <c r="AH73" s="97"/>
      <c r="AI73" s="97"/>
      <c r="AJ73" s="97"/>
      <c r="AK73" s="97"/>
      <c r="AL73" s="97"/>
      <c r="AM73" s="97"/>
      <c r="AN73" s="107"/>
      <c r="AO73" s="136"/>
      <c r="AP73" s="109"/>
      <c r="AQ73" s="104"/>
      <c r="AR73" s="99"/>
      <c r="AS73" s="99"/>
      <c r="AT73" s="99"/>
      <c r="AU73" s="96"/>
      <c r="AV73" s="110"/>
      <c r="AW73" s="137"/>
      <c r="AX73" s="105"/>
    </row>
    <row r="74" customFormat="false" ht="12.75" hidden="false" customHeight="true" outlineLevel="0" collapsed="false">
      <c r="A74" s="69" t="s">
        <v>187</v>
      </c>
      <c r="B74" s="69"/>
      <c r="C74" s="81"/>
      <c r="D74" s="69"/>
      <c r="E74" s="61"/>
      <c r="F74" s="81"/>
      <c r="G74" s="69"/>
      <c r="H74" s="74"/>
      <c r="I74" s="74"/>
      <c r="J74" s="74"/>
      <c r="K74" s="69"/>
      <c r="L74" s="84"/>
      <c r="M74" s="84"/>
      <c r="N74" s="84"/>
      <c r="O74" s="84"/>
      <c r="P74" s="95"/>
      <c r="Q74" s="72"/>
      <c r="R74" s="73"/>
      <c r="S74" s="90" t="n">
        <v>90</v>
      </c>
      <c r="T74" s="80"/>
      <c r="U74" s="74"/>
      <c r="V74" s="74"/>
      <c r="W74" s="74"/>
      <c r="X74" s="74"/>
      <c r="Y74" s="74"/>
      <c r="Z74" s="74"/>
      <c r="AA74" s="74"/>
      <c r="AB74" s="74"/>
      <c r="AC74" s="74"/>
      <c r="AD74" s="74"/>
      <c r="AE74" s="74"/>
      <c r="AF74" s="74"/>
      <c r="AG74" s="74"/>
      <c r="AH74" s="74"/>
      <c r="AI74" s="74"/>
      <c r="AJ74" s="74"/>
      <c r="AK74" s="74"/>
      <c r="AL74" s="74"/>
      <c r="AM74" s="74" t="e">
        <f aca="false">AVERAGE(U74:AC74)</f>
        <v>#DIV/0!</v>
      </c>
      <c r="AN74" s="92" t="n">
        <v>3.67</v>
      </c>
      <c r="AO74" s="139"/>
      <c r="AP74" s="75"/>
      <c r="AQ74" s="73" t="n">
        <f aca="false">AN74-(AN74-Q74)*(SIN((S74+AX74)*PI()/180))/(COS(AX74*PI()/180))</f>
        <v>0</v>
      </c>
      <c r="AR74" s="84" t="n">
        <f aca="false">H74+($M$1-M74)-(AN74-Q74)*(COS(S74*PI()/180))*(SIN((T74+13+2.3)*PI()/180))</f>
        <v>633905.233</v>
      </c>
      <c r="AS74" s="84" t="n">
        <f aca="false">I74+($N$1-N74)-(AN74-Q74)*(COS(S74*PI()/180))*(COS((T74+13+2.3)*PI()/180))</f>
        <v>3049240.448</v>
      </c>
      <c r="AT74" s="84" t="n">
        <f aca="false">J74+($O$1-O74)-R74+AN74-(AN74-Q74)*(SIN(S74*PI()/180))-L74</f>
        <v>56.28</v>
      </c>
      <c r="AU74" s="69"/>
      <c r="AV74" s="79"/>
      <c r="AW74" s="93" t="n">
        <f aca="false">AQ74-'Estacas Hurd'!AQ74</f>
        <v>-1.9</v>
      </c>
      <c r="AX74" s="80"/>
    </row>
    <row r="75" customFormat="false" ht="12.75" hidden="false" customHeight="true" outlineLevel="0" collapsed="false">
      <c r="A75" s="69" t="s">
        <v>188</v>
      </c>
      <c r="B75" s="69"/>
      <c r="C75" s="69"/>
      <c r="D75" s="69"/>
      <c r="E75" s="61"/>
      <c r="F75" s="81"/>
      <c r="G75" s="69"/>
      <c r="H75" s="74"/>
      <c r="I75" s="74"/>
      <c r="J75" s="74"/>
      <c r="K75" s="69"/>
      <c r="L75" s="84"/>
      <c r="M75" s="85"/>
      <c r="N75" s="85"/>
      <c r="O75" s="85"/>
      <c r="P75" s="95"/>
      <c r="Q75" s="72"/>
      <c r="R75" s="73"/>
      <c r="S75" s="90" t="n">
        <v>90</v>
      </c>
      <c r="T75" s="80"/>
      <c r="U75" s="74"/>
      <c r="V75" s="74"/>
      <c r="W75" s="74"/>
      <c r="X75" s="74"/>
      <c r="Y75" s="74"/>
      <c r="Z75" s="74"/>
      <c r="AA75" s="74"/>
      <c r="AB75" s="74"/>
      <c r="AC75" s="74"/>
      <c r="AD75" s="74"/>
      <c r="AE75" s="74"/>
      <c r="AF75" s="74"/>
      <c r="AG75" s="74"/>
      <c r="AH75" s="74"/>
      <c r="AI75" s="74"/>
      <c r="AJ75" s="74"/>
      <c r="AK75" s="74"/>
      <c r="AL75" s="74"/>
      <c r="AM75" s="74" t="e">
        <f aca="false">AVERAGE(U75:AC75)</f>
        <v>#DIV/0!</v>
      </c>
      <c r="AN75" s="92" t="n">
        <v>3.67</v>
      </c>
      <c r="AO75" s="139"/>
      <c r="AP75" s="75"/>
      <c r="AQ75" s="73" t="n">
        <f aca="false">AN75-(AN75-Q75)*(SIN((S75+AX75)*PI()/180))/(COS(AX75*PI()/180))</f>
        <v>0</v>
      </c>
      <c r="AR75" s="84" t="n">
        <f aca="false">H75+($M$1-M75)-(AN75-Q75)*(COS(S75*PI()/180))*(SIN((T75+13+2.3)*PI()/180))</f>
        <v>633905.233</v>
      </c>
      <c r="AS75" s="84" t="n">
        <f aca="false">I75+($N$1-N75)-(AN75-Q75)*(COS(S75*PI()/180))*(COS((T75+13+2.3)*PI()/180))</f>
        <v>3049240.448</v>
      </c>
      <c r="AT75" s="84" t="n">
        <f aca="false">J75+($O$1-O75)-R75+AN75-(AN75-Q75)*(SIN(S75*PI()/180))-L75</f>
        <v>56.28</v>
      </c>
      <c r="AU75" s="69"/>
      <c r="AV75" s="79"/>
      <c r="AW75" s="93" t="n">
        <f aca="false">AQ75-'Estacas Hurd'!AQ75</f>
        <v>-1.45</v>
      </c>
      <c r="AX75" s="80"/>
    </row>
    <row r="76" customFormat="false" ht="12.75" hidden="false" customHeight="true" outlineLevel="0" collapsed="false">
      <c r="A76" s="60" t="s">
        <v>189</v>
      </c>
      <c r="B76" s="69"/>
      <c r="C76" s="69"/>
      <c r="D76" s="69"/>
      <c r="E76" s="61"/>
      <c r="F76" s="81"/>
      <c r="G76" s="69"/>
      <c r="H76" s="74"/>
      <c r="I76" s="74"/>
      <c r="J76" s="74"/>
      <c r="K76" s="69"/>
      <c r="L76" s="84"/>
      <c r="M76" s="85"/>
      <c r="N76" s="85"/>
      <c r="O76" s="85"/>
      <c r="P76" s="95"/>
      <c r="Q76" s="72"/>
      <c r="R76" s="73"/>
      <c r="S76" s="90" t="n">
        <v>90</v>
      </c>
      <c r="T76" s="80"/>
      <c r="U76" s="74"/>
      <c r="V76" s="74"/>
      <c r="W76" s="74"/>
      <c r="X76" s="74"/>
      <c r="Y76" s="74"/>
      <c r="Z76" s="74"/>
      <c r="AA76" s="74"/>
      <c r="AB76" s="74"/>
      <c r="AC76" s="74"/>
      <c r="AD76" s="74"/>
      <c r="AE76" s="74"/>
      <c r="AF76" s="74"/>
      <c r="AG76" s="74"/>
      <c r="AH76" s="74"/>
      <c r="AI76" s="74"/>
      <c r="AJ76" s="74"/>
      <c r="AK76" s="74"/>
      <c r="AL76" s="74"/>
      <c r="AM76" s="74" t="e">
        <f aca="false">AVERAGE(U76:AC76)</f>
        <v>#DIV/0!</v>
      </c>
      <c r="AN76" s="92" t="n">
        <v>3.67</v>
      </c>
      <c r="AO76" s="139"/>
      <c r="AP76" s="75"/>
      <c r="AQ76" s="73" t="n">
        <f aca="false">AN76-(AN76-Q76)*(SIN((S76+AX76)*PI()/180))/(COS(AX76*PI()/180))</f>
        <v>0</v>
      </c>
      <c r="AR76" s="84" t="n">
        <f aca="false">H76+($M$1-M76)-(AN76-Q76)*(COS(S76*PI()/180))*(SIN((T76+13+2.3)*PI()/180))</f>
        <v>633905.233</v>
      </c>
      <c r="AS76" s="84" t="n">
        <f aca="false">I76+($N$1-N76)-(AN76-Q76)*(COS(S76*PI()/180))*(COS((T76+13+2.3)*PI()/180))</f>
        <v>3049240.448</v>
      </c>
      <c r="AT76" s="84" t="n">
        <f aca="false">J76+($O$1-O76)-R76+AN76-(AN76-Q76)*(SIN(S76*PI()/180))-L76</f>
        <v>56.28</v>
      </c>
      <c r="AU76" s="69"/>
      <c r="AV76" s="79"/>
      <c r="AW76" s="93" t="n">
        <f aca="false">AQ76-'Estacas Hurd'!AQ76</f>
        <v>-2.41</v>
      </c>
      <c r="AX76" s="80"/>
    </row>
    <row r="77" customFormat="false" ht="12.75" hidden="false" customHeight="true" outlineLevel="0" collapsed="false">
      <c r="A77" s="96" t="s">
        <v>191</v>
      </c>
      <c r="B77" s="96"/>
      <c r="C77" s="96"/>
      <c r="D77" s="96"/>
      <c r="E77" s="111"/>
      <c r="F77" s="135"/>
      <c r="G77" s="96"/>
      <c r="H77" s="104"/>
      <c r="I77" s="97"/>
      <c r="J77" s="97"/>
      <c r="K77" s="96"/>
      <c r="L77" s="99"/>
      <c r="M77" s="101"/>
      <c r="N77" s="101"/>
      <c r="O77" s="101"/>
      <c r="P77" s="102"/>
      <c r="Q77" s="103"/>
      <c r="R77" s="104"/>
      <c r="S77" s="105"/>
      <c r="T77" s="105"/>
      <c r="U77" s="97"/>
      <c r="V77" s="97"/>
      <c r="W77" s="97"/>
      <c r="X77" s="97"/>
      <c r="Y77" s="97"/>
      <c r="Z77" s="97"/>
      <c r="AA77" s="97"/>
      <c r="AB77" s="97"/>
      <c r="AC77" s="97"/>
      <c r="AD77" s="97"/>
      <c r="AE77" s="97"/>
      <c r="AF77" s="97"/>
      <c r="AG77" s="97"/>
      <c r="AH77" s="97"/>
      <c r="AI77" s="97"/>
      <c r="AJ77" s="97"/>
      <c r="AK77" s="97"/>
      <c r="AL77" s="97"/>
      <c r="AM77" s="97"/>
      <c r="AN77" s="107"/>
      <c r="AO77" s="136"/>
      <c r="AP77" s="109"/>
      <c r="AQ77" s="104"/>
      <c r="AR77" s="99"/>
      <c r="AS77" s="99"/>
      <c r="AT77" s="99"/>
      <c r="AU77" s="96"/>
      <c r="AV77" s="110"/>
      <c r="AW77" s="137"/>
      <c r="AX77" s="105"/>
    </row>
    <row r="78" customFormat="false" ht="12.75" hidden="false" customHeight="true" outlineLevel="0" collapsed="false">
      <c r="A78" s="60" t="s">
        <v>192</v>
      </c>
      <c r="B78" s="69"/>
      <c r="C78" s="69"/>
      <c r="D78" s="69"/>
      <c r="E78" s="61"/>
      <c r="F78" s="81"/>
      <c r="G78" s="69"/>
      <c r="H78" s="74"/>
      <c r="I78" s="74"/>
      <c r="J78" s="74"/>
      <c r="K78" s="69"/>
      <c r="L78" s="84"/>
      <c r="M78" s="84"/>
      <c r="N78" s="84"/>
      <c r="O78" s="84"/>
      <c r="P78" s="95"/>
      <c r="Q78" s="72"/>
      <c r="R78" s="73"/>
      <c r="S78" s="90" t="n">
        <v>90</v>
      </c>
      <c r="T78" s="80"/>
      <c r="U78" s="74"/>
      <c r="V78" s="74"/>
      <c r="W78" s="74"/>
      <c r="X78" s="74"/>
      <c r="Y78" s="74"/>
      <c r="Z78" s="74"/>
      <c r="AA78" s="74"/>
      <c r="AB78" s="74"/>
      <c r="AC78" s="74"/>
      <c r="AD78" s="74"/>
      <c r="AE78" s="74"/>
      <c r="AF78" s="74"/>
      <c r="AG78" s="74"/>
      <c r="AH78" s="74"/>
      <c r="AI78" s="74"/>
      <c r="AJ78" s="74"/>
      <c r="AK78" s="74"/>
      <c r="AL78" s="74"/>
      <c r="AM78" s="74" t="e">
        <f aca="false">AVERAGE(U78:AC78)</f>
        <v>#DIV/0!</v>
      </c>
      <c r="AN78" s="92" t="n">
        <v>3.67</v>
      </c>
      <c r="AO78" s="139"/>
      <c r="AP78" s="75"/>
      <c r="AQ78" s="73" t="n">
        <f aca="false">AN78-(AN78-Q78)*(SIN((S78+AX78)*PI()/180))/(COS(AX78*PI()/180))</f>
        <v>0</v>
      </c>
      <c r="AR78" s="84" t="n">
        <f aca="false">H78+($M$1-M78)-(AN78-Q78)*(COS(S78*PI()/180))*(SIN((T78+13+2.3)*PI()/180))</f>
        <v>633905.233</v>
      </c>
      <c r="AS78" s="84" t="n">
        <f aca="false">I78+($N$1-N78)-(AN78-Q78)*(COS(S78*PI()/180))*(COS((T78+13+2.3)*PI()/180))</f>
        <v>3049240.448</v>
      </c>
      <c r="AT78" s="84" t="n">
        <f aca="false">J78+($O$1-O78)-R78+AN78-(AN78-Q78)*(SIN(S78*PI()/180))-L78</f>
        <v>56.28</v>
      </c>
      <c r="AU78" s="69"/>
      <c r="AV78" s="79"/>
      <c r="AW78" s="93" t="n">
        <f aca="false">AQ78-'Estacas Hurd'!AQ78</f>
        <v>-1.34</v>
      </c>
      <c r="AX78" s="80"/>
    </row>
    <row r="79" customFormat="false" ht="12.75" hidden="false" customHeight="true" outlineLevel="0" collapsed="false">
      <c r="A79" s="60" t="s">
        <v>193</v>
      </c>
      <c r="B79" s="69"/>
      <c r="C79" s="69"/>
      <c r="D79" s="69"/>
      <c r="E79" s="61"/>
      <c r="F79" s="81"/>
      <c r="G79" s="69"/>
      <c r="H79" s="74"/>
      <c r="I79" s="74"/>
      <c r="J79" s="74"/>
      <c r="K79" s="69"/>
      <c r="L79" s="84"/>
      <c r="M79" s="84"/>
      <c r="N79" s="84"/>
      <c r="O79" s="84"/>
      <c r="P79" s="95"/>
      <c r="Q79" s="72"/>
      <c r="R79" s="73"/>
      <c r="S79" s="90" t="n">
        <v>90</v>
      </c>
      <c r="T79" s="80"/>
      <c r="U79" s="74"/>
      <c r="V79" s="74"/>
      <c r="W79" s="74"/>
      <c r="X79" s="74"/>
      <c r="Y79" s="74"/>
      <c r="Z79" s="74"/>
      <c r="AA79" s="74"/>
      <c r="AB79" s="74"/>
      <c r="AC79" s="74"/>
      <c r="AD79" s="74"/>
      <c r="AE79" s="74"/>
      <c r="AF79" s="74"/>
      <c r="AG79" s="74"/>
      <c r="AH79" s="74"/>
      <c r="AI79" s="74"/>
      <c r="AJ79" s="74"/>
      <c r="AK79" s="74"/>
      <c r="AL79" s="74"/>
      <c r="AM79" s="74" t="e">
        <f aca="false">AVERAGE(U79:AC79)</f>
        <v>#DIV/0!</v>
      </c>
      <c r="AN79" s="92" t="n">
        <v>3.67</v>
      </c>
      <c r="AO79" s="139"/>
      <c r="AP79" s="75"/>
      <c r="AQ79" s="73" t="n">
        <f aca="false">AN79-(AN79-Q79)*(SIN((S79+AX79)*PI()/180))/(COS(AX79*PI()/180))</f>
        <v>0</v>
      </c>
      <c r="AR79" s="84" t="n">
        <f aca="false">H79+($M$1-M79)-(AN79-Q79)*(COS(S79*PI()/180))*(SIN((T79+13+2.3)*PI()/180))</f>
        <v>633905.233</v>
      </c>
      <c r="AS79" s="84" t="n">
        <f aca="false">I79+($N$1-N79)-(AN79-Q79)*(COS(S79*PI()/180))*(COS((T79+13+2.3)*PI()/180))</f>
        <v>3049240.448</v>
      </c>
      <c r="AT79" s="84" t="n">
        <f aca="false">J79+($O$1-O79)-R79+AN79-(AN79-Q79)*(SIN(S79*PI()/180))-L79</f>
        <v>56.28</v>
      </c>
      <c r="AU79" s="69"/>
      <c r="AV79" s="79"/>
      <c r="AW79" s="93" t="n">
        <f aca="false">AQ79-'Estacas Hurd'!AQ79</f>
        <v>-1.45</v>
      </c>
      <c r="AX79" s="80"/>
    </row>
    <row r="80" customFormat="false" ht="12.75" hidden="false" customHeight="true" outlineLevel="0" collapsed="false">
      <c r="A80" s="60" t="s">
        <v>194</v>
      </c>
      <c r="B80" s="69"/>
      <c r="C80" s="69"/>
      <c r="D80" s="69"/>
      <c r="E80" s="61"/>
      <c r="F80" s="81"/>
      <c r="G80" s="69"/>
      <c r="H80" s="74"/>
      <c r="I80" s="74"/>
      <c r="J80" s="74"/>
      <c r="K80" s="69"/>
      <c r="L80" s="84"/>
      <c r="M80" s="84"/>
      <c r="N80" s="84"/>
      <c r="O80" s="84"/>
      <c r="P80" s="95"/>
      <c r="Q80" s="72"/>
      <c r="R80" s="73"/>
      <c r="S80" s="90" t="n">
        <v>90</v>
      </c>
      <c r="T80" s="80"/>
      <c r="U80" s="74"/>
      <c r="V80" s="74"/>
      <c r="W80" s="74"/>
      <c r="X80" s="74"/>
      <c r="Y80" s="74"/>
      <c r="Z80" s="74"/>
      <c r="AA80" s="74"/>
      <c r="AB80" s="74"/>
      <c r="AC80" s="74"/>
      <c r="AD80" s="74"/>
      <c r="AE80" s="74"/>
      <c r="AF80" s="74"/>
      <c r="AG80" s="74"/>
      <c r="AH80" s="74"/>
      <c r="AI80" s="74"/>
      <c r="AJ80" s="74"/>
      <c r="AK80" s="74"/>
      <c r="AL80" s="74"/>
      <c r="AM80" s="74" t="e">
        <f aca="false">AVERAGE(U80:AC80)</f>
        <v>#DIV/0!</v>
      </c>
      <c r="AN80" s="92" t="n">
        <v>3.67</v>
      </c>
      <c r="AO80" s="139"/>
      <c r="AP80" s="75"/>
      <c r="AQ80" s="73" t="n">
        <f aca="false">AN80-(AN80-Q80)*(SIN((S80+AX80)*PI()/180))/(COS(AX80*PI()/180))</f>
        <v>0</v>
      </c>
      <c r="AR80" s="84" t="n">
        <f aca="false">H80+($M$1-M80)-(AN80-Q80)*(COS(S80*PI()/180))*(SIN((T80+13+2.3)*PI()/180))</f>
        <v>633905.233</v>
      </c>
      <c r="AS80" s="84" t="n">
        <f aca="false">I80+($N$1-N80)-(AN80-Q80)*(COS(S80*PI()/180))*(COS((T80+13+2.3)*PI()/180))</f>
        <v>3049240.448</v>
      </c>
      <c r="AT80" s="84" t="n">
        <f aca="false">J80+($O$1-O80)-R80+AN80-(AN80-Q80)*(SIN(S80*PI()/180))-L80</f>
        <v>56.28</v>
      </c>
      <c r="AU80" s="69"/>
      <c r="AV80" s="79"/>
      <c r="AW80" s="93" t="n">
        <f aca="false">AQ80-'Estacas Hurd'!AQ80</f>
        <v>-1.39</v>
      </c>
      <c r="AX80" s="80"/>
    </row>
    <row r="81" customFormat="false" ht="12.75" hidden="false" customHeight="true" outlineLevel="0" collapsed="false">
      <c r="A81" s="60" t="s">
        <v>195</v>
      </c>
      <c r="B81" s="69"/>
      <c r="C81" s="69"/>
      <c r="D81" s="69"/>
      <c r="E81" s="61"/>
      <c r="F81" s="81"/>
      <c r="G81" s="69"/>
      <c r="H81" s="74"/>
      <c r="I81" s="74"/>
      <c r="J81" s="74"/>
      <c r="K81" s="69"/>
      <c r="L81" s="84"/>
      <c r="M81" s="84"/>
      <c r="N81" s="84"/>
      <c r="O81" s="84"/>
      <c r="P81" s="95"/>
      <c r="Q81" s="72"/>
      <c r="R81" s="73"/>
      <c r="S81" s="90" t="n">
        <v>90</v>
      </c>
      <c r="T81" s="80"/>
      <c r="U81" s="74"/>
      <c r="V81" s="74"/>
      <c r="W81" s="74"/>
      <c r="X81" s="74"/>
      <c r="Y81" s="74"/>
      <c r="Z81" s="74"/>
      <c r="AA81" s="74"/>
      <c r="AB81" s="74"/>
      <c r="AC81" s="74"/>
      <c r="AD81" s="74"/>
      <c r="AE81" s="74"/>
      <c r="AF81" s="74"/>
      <c r="AG81" s="74"/>
      <c r="AH81" s="74"/>
      <c r="AI81" s="74"/>
      <c r="AJ81" s="74"/>
      <c r="AK81" s="74"/>
      <c r="AL81" s="74"/>
      <c r="AM81" s="74" t="e">
        <f aca="false">AVERAGE(U81:AC81)</f>
        <v>#DIV/0!</v>
      </c>
      <c r="AN81" s="92" t="n">
        <v>3.67</v>
      </c>
      <c r="AO81" s="139"/>
      <c r="AP81" s="75"/>
      <c r="AQ81" s="73" t="n">
        <f aca="false">AN81-(AN81-Q81)*(SIN((S81+AX81)*PI()/180))/(COS(AX81*PI()/180))</f>
        <v>0</v>
      </c>
      <c r="AR81" s="84" t="n">
        <f aca="false">H81+($M$1-M81)-(AN81-Q81)*(COS(S81*PI()/180))*(SIN((T81+13+2.3)*PI()/180))</f>
        <v>633905.233</v>
      </c>
      <c r="AS81" s="84" t="n">
        <f aca="false">I81+($N$1-N81)-(AN81-Q81)*(COS(S81*PI()/180))*(COS((T81+13+2.3)*PI()/180))</f>
        <v>3049240.448</v>
      </c>
      <c r="AT81" s="84" t="n">
        <f aca="false">J81+($O$1-O81)-R81+AN81-(AN81-Q81)*(SIN(S81*PI()/180))-L81</f>
        <v>56.28</v>
      </c>
      <c r="AU81" s="69"/>
      <c r="AV81" s="79"/>
      <c r="AW81" s="93" t="n">
        <f aca="false">AQ81-'Estacas Hurd'!AQ81</f>
        <v>-2</v>
      </c>
      <c r="AX81" s="80"/>
    </row>
    <row r="82" customFormat="false" ht="12.75" hidden="false" customHeight="true" outlineLevel="0" collapsed="false">
      <c r="A82" s="60" t="s">
        <v>196</v>
      </c>
      <c r="B82" s="69"/>
      <c r="C82" s="69"/>
      <c r="D82" s="69"/>
      <c r="E82" s="61"/>
      <c r="F82" s="81"/>
      <c r="G82" s="69"/>
      <c r="H82" s="74"/>
      <c r="I82" s="74"/>
      <c r="J82" s="74"/>
      <c r="K82" s="69"/>
      <c r="L82" s="84"/>
      <c r="M82" s="84"/>
      <c r="N82" s="84"/>
      <c r="O82" s="84"/>
      <c r="P82" s="95"/>
      <c r="Q82" s="72"/>
      <c r="R82" s="73"/>
      <c r="S82" s="90" t="n">
        <v>90</v>
      </c>
      <c r="T82" s="80"/>
      <c r="U82" s="74"/>
      <c r="V82" s="74"/>
      <c r="W82" s="74"/>
      <c r="X82" s="74"/>
      <c r="Y82" s="74"/>
      <c r="Z82" s="74"/>
      <c r="AA82" s="74"/>
      <c r="AB82" s="74"/>
      <c r="AC82" s="74"/>
      <c r="AD82" s="74"/>
      <c r="AE82" s="74"/>
      <c r="AF82" s="74"/>
      <c r="AG82" s="74"/>
      <c r="AH82" s="74"/>
      <c r="AI82" s="74"/>
      <c r="AJ82" s="74"/>
      <c r="AK82" s="74"/>
      <c r="AL82" s="74"/>
      <c r="AM82" s="74" t="e">
        <f aca="false">AVERAGE(U82:AC82)</f>
        <v>#DIV/0!</v>
      </c>
      <c r="AN82" s="92" t="n">
        <v>3.67</v>
      </c>
      <c r="AO82" s="139"/>
      <c r="AP82" s="75"/>
      <c r="AQ82" s="73" t="n">
        <f aca="false">AN82-(AN82-Q82)*(SIN((S82+AX82)*PI()/180))/(COS(AX82*PI()/180))</f>
        <v>0</v>
      </c>
      <c r="AR82" s="84" t="n">
        <f aca="false">H82+($M$1-M82)-(AN82-Q82)*(COS(S82*PI()/180))*(SIN((T82+13+2.3)*PI()/180))</f>
        <v>633905.233</v>
      </c>
      <c r="AS82" s="84" t="n">
        <f aca="false">I82+($N$1-N82)-(AN82-Q82)*(COS(S82*PI()/180))*(COS((T82+13+2.3)*PI()/180))</f>
        <v>3049240.448</v>
      </c>
      <c r="AT82" s="84" t="n">
        <f aca="false">J82+($O$1-O82)-R82+AN82-(AN82-Q82)*(SIN(S82*PI()/180))-L82</f>
        <v>56.28</v>
      </c>
      <c r="AU82" s="69"/>
      <c r="AV82" s="79"/>
      <c r="AW82" s="93" t="n">
        <f aca="false">AQ82-'Estacas Hurd'!AQ82</f>
        <v>-2.38</v>
      </c>
      <c r="AX82" s="80"/>
    </row>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autoFilter ref="D1:D79"/>
  <printOptions headings="false" gridLines="false" gridLinesSet="true" horizontalCentered="true" verticalCentered="true"/>
  <pageMargins left="0.315277777777778" right="0.315277777777778" top="1" bottom="1"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&amp;C&amp;A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X1000"/>
  <sheetViews>
    <sheetView showFormulas="false" showGridLines="true" showRowColHeaders="true" showZeros="true" rightToLeft="false" tabSelected="false" showOutlineSymbols="true" defaultGridColor="true" view="normal" topLeftCell="T1" colorId="64" zoomScale="120" zoomScaleNormal="120" zoomScalePageLayoutView="100" workbookViewId="0">
      <selection pane="topLeft" activeCell="A73" activeCellId="0" sqref="A73"/>
    </sheetView>
  </sheetViews>
  <sheetFormatPr defaultColWidth="8.6796875" defaultRowHeight="15" zeroHeight="false" outlineLevelRow="0" outlineLevelCol="0"/>
  <cols>
    <col collapsed="false" customWidth="true" hidden="false" outlineLevel="0" max="5" min="1" style="1" width="9.44"/>
    <col collapsed="false" customWidth="true" hidden="false" outlineLevel="0" max="6" min="6" style="1" width="9.2"/>
    <col collapsed="false" customWidth="true" hidden="false" outlineLevel="0" max="7" min="7" style="1" width="15.44"/>
    <col collapsed="false" customWidth="true" hidden="false" outlineLevel="0" max="10" min="8" style="1" width="11.99"/>
    <col collapsed="false" customWidth="true" hidden="false" outlineLevel="0" max="11" min="11" style="1" width="7.11"/>
    <col collapsed="false" customWidth="true" hidden="false" outlineLevel="0" max="12" min="12" style="1" width="8.87"/>
    <col collapsed="false" customWidth="true" hidden="false" outlineLevel="0" max="15" min="13" style="1" width="11.99"/>
    <col collapsed="false" customWidth="true" hidden="false" outlineLevel="0" max="16" min="16" style="1" width="30.43"/>
    <col collapsed="false" customWidth="true" hidden="false" outlineLevel="0" max="20" min="17" style="1" width="6.43"/>
    <col collapsed="false" customWidth="true" hidden="false" outlineLevel="0" max="38" min="21" style="1" width="4.44"/>
    <col collapsed="false" customWidth="true" hidden="false" outlineLevel="0" max="39" min="39" style="1" width="8.44"/>
    <col collapsed="false" customWidth="true" hidden="false" outlineLevel="0" max="40" min="40" style="1" width="6.43"/>
    <col collapsed="false" customWidth="true" hidden="false" outlineLevel="0" max="41" min="41" style="1" width="29.21"/>
    <col collapsed="false" customWidth="true" hidden="false" outlineLevel="0" max="42" min="42" style="1" width="30.43"/>
    <col collapsed="false" customWidth="true" hidden="false" outlineLevel="0" max="43" min="43" style="1" width="6.43"/>
    <col collapsed="false" customWidth="true" hidden="false" outlineLevel="0" max="46" min="44" style="1" width="11.99"/>
    <col collapsed="false" customWidth="true" hidden="false" outlineLevel="0" max="47" min="47" style="1" width="6.43"/>
    <col collapsed="false" customWidth="true" hidden="false" outlineLevel="0" max="48" min="48" style="1" width="30.43"/>
    <col collapsed="false" customWidth="true" hidden="false" outlineLevel="0" max="49" min="49" style="1" width="11.22"/>
    <col collapsed="false" customWidth="true" hidden="false" outlineLevel="0" max="50" min="50" style="1" width="6.43"/>
    <col collapsed="false" customWidth="true" hidden="false" outlineLevel="0" max="1025" min="51" style="1" width="12.67"/>
  </cols>
  <sheetData>
    <row r="1" customFormat="false" ht="12.75" hidden="false" customHeight="true" outlineLevel="0" collapsed="false">
      <c r="A1" s="14" t="s">
        <v>42</v>
      </c>
      <c r="B1" s="15" t="s">
        <v>43</v>
      </c>
      <c r="C1" s="16" t="s">
        <v>44</v>
      </c>
      <c r="D1" s="17" t="s">
        <v>45</v>
      </c>
      <c r="E1" s="18" t="s">
        <v>46</v>
      </c>
      <c r="F1" s="19" t="s">
        <v>47</v>
      </c>
      <c r="G1" s="20" t="s">
        <v>48</v>
      </c>
      <c r="H1" s="21" t="s">
        <v>49</v>
      </c>
      <c r="I1" s="22"/>
      <c r="J1" s="23"/>
      <c r="K1" s="140"/>
      <c r="L1" s="141" t="s">
        <v>50</v>
      </c>
      <c r="M1" s="26" t="n">
        <v>633905.233</v>
      </c>
      <c r="N1" s="26" t="n">
        <v>3049240.448</v>
      </c>
      <c r="O1" s="26" t="n">
        <f aca="false">56.39-0.11</f>
        <v>56.28</v>
      </c>
      <c r="P1" s="126" t="s">
        <v>199</v>
      </c>
      <c r="Q1" s="127"/>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32"/>
      <c r="AV1" s="33"/>
      <c r="AW1" s="32"/>
      <c r="AX1" s="29"/>
    </row>
    <row r="2" customFormat="false" ht="12.75" hidden="false" customHeight="true" outlineLevel="0" collapsed="false">
      <c r="A2" s="34" t="s">
        <v>52</v>
      </c>
      <c r="B2" s="35" t="s">
        <v>53</v>
      </c>
      <c r="C2" s="36" t="s">
        <v>54</v>
      </c>
      <c r="D2" s="35" t="s">
        <v>55</v>
      </c>
      <c r="E2" s="37" t="s">
        <v>56</v>
      </c>
      <c r="F2" s="38" t="s">
        <v>57</v>
      </c>
      <c r="G2" s="39" t="s">
        <v>58</v>
      </c>
      <c r="H2" s="40" t="s">
        <v>1</v>
      </c>
      <c r="I2" s="41" t="s">
        <v>3</v>
      </c>
      <c r="J2" s="41" t="s">
        <v>5</v>
      </c>
      <c r="K2" s="142" t="s">
        <v>59</v>
      </c>
      <c r="L2" s="143" t="s">
        <v>60</v>
      </c>
      <c r="M2" s="43" t="s">
        <v>11</v>
      </c>
      <c r="N2" s="43" t="s">
        <v>61</v>
      </c>
      <c r="O2" s="43" t="s">
        <v>15</v>
      </c>
      <c r="P2" s="44" t="s">
        <v>62</v>
      </c>
      <c r="Q2" s="45" t="s">
        <v>63</v>
      </c>
      <c r="R2" s="46" t="s">
        <v>64</v>
      </c>
      <c r="S2" s="47" t="s">
        <v>22</v>
      </c>
      <c r="T2" s="48" t="s">
        <v>24</v>
      </c>
      <c r="U2" s="49"/>
      <c r="V2" s="50"/>
      <c r="W2" s="50"/>
      <c r="X2" s="50"/>
      <c r="Y2" s="50" t="s">
        <v>65</v>
      </c>
      <c r="Z2" s="50"/>
      <c r="AA2" s="50"/>
      <c r="AB2" s="50"/>
      <c r="AC2" s="51"/>
      <c r="AD2" s="50"/>
      <c r="AE2" s="50"/>
      <c r="AF2" s="50"/>
      <c r="AG2" s="50"/>
      <c r="AH2" s="50" t="s">
        <v>66</v>
      </c>
      <c r="AI2" s="50"/>
      <c r="AJ2" s="50"/>
      <c r="AK2" s="50"/>
      <c r="AL2" s="52"/>
      <c r="AM2" s="129" t="s">
        <v>67</v>
      </c>
      <c r="AN2" s="54" t="s">
        <v>68</v>
      </c>
      <c r="AO2" s="130" t="s">
        <v>69</v>
      </c>
      <c r="AP2" s="44" t="s">
        <v>70</v>
      </c>
      <c r="AQ2" s="56" t="s">
        <v>71</v>
      </c>
      <c r="AR2" s="57" t="s">
        <v>72</v>
      </c>
      <c r="AS2" s="58" t="s">
        <v>73</v>
      </c>
      <c r="AT2" s="58" t="s">
        <v>74</v>
      </c>
      <c r="AU2" s="49" t="s">
        <v>75</v>
      </c>
      <c r="AV2" s="44" t="s">
        <v>76</v>
      </c>
      <c r="AW2" s="59"/>
      <c r="AX2" s="48" t="s">
        <v>26</v>
      </c>
    </row>
    <row r="3" customFormat="false" ht="12.75" hidden="false" customHeight="true" outlineLevel="0" collapsed="false">
      <c r="A3" s="60"/>
      <c r="B3" s="61" t="s">
        <v>77</v>
      </c>
      <c r="C3" s="62" t="s">
        <v>78</v>
      </c>
      <c r="D3" s="63" t="s">
        <v>79</v>
      </c>
      <c r="E3" s="64" t="s">
        <v>80</v>
      </c>
      <c r="F3" s="64" t="s">
        <v>80</v>
      </c>
      <c r="G3" s="65"/>
      <c r="H3" s="66" t="s">
        <v>81</v>
      </c>
      <c r="I3" s="67" t="s">
        <v>82</v>
      </c>
      <c r="J3" s="68" t="s">
        <v>83</v>
      </c>
      <c r="K3" s="79"/>
      <c r="L3" s="60"/>
      <c r="M3" s="67" t="s">
        <v>84</v>
      </c>
      <c r="N3" s="67" t="s">
        <v>85</v>
      </c>
      <c r="O3" s="68" t="s">
        <v>86</v>
      </c>
      <c r="P3" s="71"/>
      <c r="Q3" s="72" t="s">
        <v>87</v>
      </c>
      <c r="R3" s="73" t="s">
        <v>87</v>
      </c>
      <c r="S3" s="74" t="s">
        <v>88</v>
      </c>
      <c r="T3" s="74" t="s">
        <v>88</v>
      </c>
      <c r="U3" s="74" t="s">
        <v>89</v>
      </c>
      <c r="V3" s="74" t="s">
        <v>90</v>
      </c>
      <c r="W3" s="74" t="s">
        <v>91</v>
      </c>
      <c r="X3" s="74" t="s">
        <v>92</v>
      </c>
      <c r="Y3" s="74" t="s">
        <v>93</v>
      </c>
      <c r="Z3" s="74" t="s">
        <v>94</v>
      </c>
      <c r="AA3" s="74" t="s">
        <v>95</v>
      </c>
      <c r="AB3" s="74" t="s">
        <v>96</v>
      </c>
      <c r="AC3" s="75" t="s">
        <v>97</v>
      </c>
      <c r="AD3" s="73" t="s">
        <v>89</v>
      </c>
      <c r="AE3" s="74" t="s">
        <v>90</v>
      </c>
      <c r="AF3" s="74" t="s">
        <v>91</v>
      </c>
      <c r="AG3" s="74" t="s">
        <v>92</v>
      </c>
      <c r="AH3" s="74" t="s">
        <v>93</v>
      </c>
      <c r="AI3" s="74" t="s">
        <v>94</v>
      </c>
      <c r="AJ3" s="74" t="s">
        <v>95</v>
      </c>
      <c r="AK3" s="74" t="s">
        <v>96</v>
      </c>
      <c r="AL3" s="74" t="s">
        <v>97</v>
      </c>
      <c r="AM3" s="74" t="s">
        <v>98</v>
      </c>
      <c r="AN3" s="74" t="s">
        <v>99</v>
      </c>
      <c r="AO3" s="74"/>
      <c r="AP3" s="75"/>
      <c r="AQ3" s="73" t="s">
        <v>87</v>
      </c>
      <c r="AR3" s="78" t="s">
        <v>81</v>
      </c>
      <c r="AS3" s="67" t="s">
        <v>82</v>
      </c>
      <c r="AT3" s="68" t="s">
        <v>83</v>
      </c>
      <c r="AV3" s="79"/>
      <c r="AW3" s="59"/>
      <c r="AX3" s="144"/>
    </row>
    <row r="4" customFormat="false" ht="12.75" hidden="false" customHeight="true" outlineLevel="0" collapsed="false">
      <c r="A4" s="69"/>
      <c r="B4" s="69"/>
      <c r="C4" s="69"/>
      <c r="D4" s="69"/>
      <c r="E4" s="61"/>
      <c r="F4" s="145"/>
      <c r="G4" s="68"/>
      <c r="H4" s="73"/>
      <c r="I4" s="74"/>
      <c r="J4" s="73"/>
      <c r="K4" s="79"/>
      <c r="L4" s="93"/>
      <c r="M4" s="70"/>
      <c r="N4" s="70"/>
      <c r="O4" s="70"/>
      <c r="P4" s="71"/>
      <c r="Q4" s="72"/>
      <c r="R4" s="73"/>
      <c r="S4" s="74"/>
      <c r="T4" s="74"/>
      <c r="U4" s="74"/>
      <c r="V4" s="74"/>
      <c r="W4" s="74"/>
      <c r="X4" s="74"/>
      <c r="Y4" s="74"/>
      <c r="Z4" s="74"/>
      <c r="AA4" s="74"/>
      <c r="AB4" s="74"/>
      <c r="AC4" s="74"/>
      <c r="AD4" s="74"/>
      <c r="AE4" s="74"/>
      <c r="AF4" s="74"/>
      <c r="AG4" s="74"/>
      <c r="AH4" s="74"/>
      <c r="AI4" s="74"/>
      <c r="AJ4" s="74"/>
      <c r="AK4" s="74"/>
      <c r="AL4" s="74"/>
      <c r="AM4" s="74"/>
      <c r="AN4" s="74"/>
      <c r="AO4" s="74"/>
      <c r="AP4" s="75"/>
      <c r="AQ4" s="73"/>
      <c r="AR4" s="86"/>
      <c r="AS4" s="83"/>
      <c r="AT4" s="83"/>
      <c r="AV4" s="79"/>
      <c r="AW4" s="59"/>
      <c r="AX4" s="74"/>
    </row>
    <row r="5" customFormat="false" ht="12.75" hidden="true" customHeight="true" outlineLevel="0" collapsed="false">
      <c r="A5" s="146" t="s">
        <v>200</v>
      </c>
      <c r="B5" s="147"/>
      <c r="C5" s="147"/>
      <c r="D5" s="147"/>
      <c r="E5" s="148"/>
      <c r="F5" s="149"/>
      <c r="G5" s="150"/>
      <c r="H5" s="151"/>
      <c r="I5" s="152"/>
      <c r="J5" s="152"/>
      <c r="K5" s="153"/>
      <c r="L5" s="154"/>
      <c r="M5" s="155"/>
      <c r="N5" s="155"/>
      <c r="O5" s="155"/>
      <c r="P5" s="156"/>
      <c r="Q5" s="157"/>
      <c r="R5" s="151"/>
      <c r="S5" s="158"/>
      <c r="T5" s="158"/>
      <c r="U5" s="152"/>
      <c r="V5" s="152"/>
      <c r="W5" s="152"/>
      <c r="X5" s="152"/>
      <c r="Y5" s="152"/>
      <c r="Z5" s="152"/>
      <c r="AA5" s="152"/>
      <c r="AB5" s="152"/>
      <c r="AC5" s="152"/>
      <c r="AD5" s="152"/>
      <c r="AE5" s="152"/>
      <c r="AF5" s="152"/>
      <c r="AG5" s="152"/>
      <c r="AH5" s="152"/>
      <c r="AI5" s="152"/>
      <c r="AJ5" s="152"/>
      <c r="AK5" s="152"/>
      <c r="AL5" s="152"/>
      <c r="AM5" s="152"/>
      <c r="AN5" s="159"/>
      <c r="AO5" s="160"/>
      <c r="AP5" s="161"/>
      <c r="AQ5" s="151"/>
      <c r="AR5" s="162"/>
      <c r="AS5" s="162"/>
      <c r="AT5" s="162"/>
      <c r="AU5" s="147"/>
      <c r="AV5" s="153"/>
      <c r="AW5" s="59"/>
      <c r="AX5" s="158"/>
    </row>
    <row r="6" customFormat="false" ht="12.75" hidden="true" customHeight="true" outlineLevel="0" collapsed="false">
      <c r="A6" s="163" t="s">
        <v>201</v>
      </c>
      <c r="B6" s="96"/>
      <c r="C6" s="96"/>
      <c r="D6" s="96"/>
      <c r="E6" s="111"/>
      <c r="F6" s="164"/>
      <c r="G6" s="165"/>
      <c r="H6" s="104"/>
      <c r="I6" s="97"/>
      <c r="J6" s="97"/>
      <c r="K6" s="110"/>
      <c r="L6" s="166"/>
      <c r="M6" s="167"/>
      <c r="N6" s="167"/>
      <c r="O6" s="167"/>
      <c r="P6" s="102"/>
      <c r="Q6" s="103"/>
      <c r="R6" s="104"/>
      <c r="S6" s="105"/>
      <c r="T6" s="105"/>
      <c r="U6" s="97"/>
      <c r="V6" s="97"/>
      <c r="W6" s="97"/>
      <c r="X6" s="97"/>
      <c r="Y6" s="97"/>
      <c r="Z6" s="97"/>
      <c r="AA6" s="97"/>
      <c r="AB6" s="97"/>
      <c r="AC6" s="97"/>
      <c r="AD6" s="97"/>
      <c r="AE6" s="97"/>
      <c r="AF6" s="97"/>
      <c r="AG6" s="97"/>
      <c r="AH6" s="97"/>
      <c r="AI6" s="97"/>
      <c r="AJ6" s="97"/>
      <c r="AK6" s="97"/>
      <c r="AL6" s="97"/>
      <c r="AM6" s="97"/>
      <c r="AN6" s="107"/>
      <c r="AO6" s="108"/>
      <c r="AP6" s="109"/>
      <c r="AQ6" s="104"/>
      <c r="AR6" s="99"/>
      <c r="AS6" s="99"/>
      <c r="AT6" s="99"/>
      <c r="AU6" s="96"/>
      <c r="AV6" s="110"/>
      <c r="AW6" s="59"/>
      <c r="AX6" s="105"/>
    </row>
    <row r="7" customFormat="false" ht="12.75" hidden="false" customHeight="true" outlineLevel="0" collapsed="false">
      <c r="A7" s="168" t="s">
        <v>202</v>
      </c>
      <c r="B7" s="69" t="s">
        <v>113</v>
      </c>
      <c r="C7" s="69" t="s">
        <v>203</v>
      </c>
      <c r="D7" s="69" t="s">
        <v>103</v>
      </c>
      <c r="E7" s="61"/>
      <c r="F7" s="145"/>
      <c r="G7" s="94" t="s">
        <v>114</v>
      </c>
      <c r="H7" s="1" t="n">
        <v>635066.21</v>
      </c>
      <c r="I7" s="1" t="n">
        <v>3047859.561</v>
      </c>
      <c r="J7" s="1" t="n">
        <v>219.355</v>
      </c>
      <c r="K7" s="79" t="s">
        <v>105</v>
      </c>
      <c r="L7" s="84" t="n">
        <v>0.11</v>
      </c>
      <c r="M7" s="1" t="n">
        <v>633905.233</v>
      </c>
      <c r="N7" s="1" t="n">
        <v>3049240.448</v>
      </c>
      <c r="O7" s="1" t="n">
        <v>56.39</v>
      </c>
      <c r="P7" s="95" t="s">
        <v>106</v>
      </c>
      <c r="Q7" s="72" t="n">
        <v>0.41</v>
      </c>
      <c r="R7" s="73" t="n">
        <v>0.41</v>
      </c>
      <c r="S7" s="90" t="n">
        <v>90</v>
      </c>
      <c r="T7" s="80"/>
      <c r="U7" s="74" t="n">
        <v>0.7</v>
      </c>
      <c r="V7" s="74" t="n">
        <v>0.69</v>
      </c>
      <c r="W7" s="74" t="n">
        <v>0.67</v>
      </c>
      <c r="X7" s="74" t="n">
        <v>0.67</v>
      </c>
      <c r="Y7" s="74" t="n">
        <v>0.632</v>
      </c>
      <c r="Z7" s="74" t="n">
        <v>0.63</v>
      </c>
      <c r="AA7" s="74" t="n">
        <v>0.66</v>
      </c>
      <c r="AB7" s="74"/>
      <c r="AC7" s="74"/>
      <c r="AD7" s="74"/>
      <c r="AE7" s="74"/>
      <c r="AF7" s="74"/>
      <c r="AG7" s="74"/>
      <c r="AH7" s="74"/>
      <c r="AI7" s="74"/>
      <c r="AJ7" s="74"/>
      <c r="AK7" s="74"/>
      <c r="AL7" s="74"/>
      <c r="AM7" s="74" t="n">
        <f aca="false">AVERAGE(U7:AC7)</f>
        <v>0.664571428571429</v>
      </c>
      <c r="AN7" s="92" t="n">
        <v>3.67</v>
      </c>
      <c r="AO7" s="93"/>
      <c r="AP7" s="75"/>
      <c r="AQ7" s="73" t="n">
        <f aca="false">AN7-(AN7-Q7)*(SIN((S7+AX7)*PI()/180))/(COS(AX7*PI()/180))</f>
        <v>0.41</v>
      </c>
      <c r="AR7" s="84" t="n">
        <f aca="false">H7+($M$1-M7)-(AN7-Q7)*(COS(S7*PI()/180))*(SIN((T7+13+2.3)*PI()/180))</f>
        <v>635066.21</v>
      </c>
      <c r="AS7" s="84" t="n">
        <f aca="false">I7+($N$1-N7)-(AN7-Q7)*(COS(S7*PI()/180))*(COS((T7+13+2.3)*PI()/180))</f>
        <v>3047859.561</v>
      </c>
      <c r="AT7" s="84" t="n">
        <f aca="false">J7+($O$1-O7)-R7+AN7-(AN7-Q7)*(SIN(S7*PI()/180))-L7</f>
        <v>219.135</v>
      </c>
      <c r="AU7" s="69"/>
      <c r="AV7" s="79"/>
      <c r="AW7" s="59"/>
      <c r="AX7" s="80"/>
    </row>
    <row r="8" customFormat="false" ht="12.75" hidden="false" customHeight="true" outlineLevel="0" collapsed="false">
      <c r="A8" s="163" t="s">
        <v>204</v>
      </c>
      <c r="B8" s="96"/>
      <c r="C8" s="96"/>
      <c r="D8" s="96"/>
      <c r="E8" s="111"/>
      <c r="F8" s="169"/>
      <c r="G8" s="165"/>
      <c r="H8" s="104"/>
      <c r="I8" s="97"/>
      <c r="J8" s="97"/>
      <c r="K8" s="110"/>
      <c r="L8" s="166"/>
      <c r="M8" s="101"/>
      <c r="N8" s="101"/>
      <c r="O8" s="101"/>
      <c r="P8" s="102"/>
      <c r="Q8" s="103"/>
      <c r="R8" s="104"/>
      <c r="S8" s="105"/>
      <c r="T8" s="105"/>
      <c r="U8" s="97"/>
      <c r="V8" s="97"/>
      <c r="W8" s="97"/>
      <c r="X8" s="166"/>
      <c r="Y8" s="97"/>
      <c r="Z8" s="97"/>
      <c r="AA8" s="97"/>
      <c r="AB8" s="97"/>
      <c r="AC8" s="97"/>
      <c r="AD8" s="97"/>
      <c r="AE8" s="97"/>
      <c r="AF8" s="97"/>
      <c r="AG8" s="97"/>
      <c r="AH8" s="97"/>
      <c r="AI8" s="97"/>
      <c r="AJ8" s="97"/>
      <c r="AK8" s="97"/>
      <c r="AL8" s="170"/>
      <c r="AM8" s="170"/>
      <c r="AN8" s="107"/>
      <c r="AO8" s="97"/>
      <c r="AP8" s="109"/>
      <c r="AQ8" s="104"/>
      <c r="AR8" s="99"/>
      <c r="AS8" s="99"/>
      <c r="AT8" s="99"/>
      <c r="AU8" s="96"/>
      <c r="AV8" s="110"/>
      <c r="AW8" s="59"/>
      <c r="AX8" s="105"/>
    </row>
    <row r="9" customFormat="false" ht="12.75" hidden="false" customHeight="true" outlineLevel="0" collapsed="false">
      <c r="A9" s="168" t="s">
        <v>205</v>
      </c>
      <c r="B9" s="69" t="s">
        <v>113</v>
      </c>
      <c r="C9" s="69" t="s">
        <v>206</v>
      </c>
      <c r="D9" s="69" t="s">
        <v>103</v>
      </c>
      <c r="E9" s="61"/>
      <c r="F9" s="145"/>
      <c r="G9" s="94" t="s">
        <v>114</v>
      </c>
      <c r="H9" s="1" t="n">
        <v>635110.227</v>
      </c>
      <c r="I9" s="1" t="n">
        <v>3048230.017</v>
      </c>
      <c r="J9" s="1" t="n">
        <v>182.866</v>
      </c>
      <c r="K9" s="79" t="s">
        <v>105</v>
      </c>
      <c r="L9" s="84" t="n">
        <v>0</v>
      </c>
      <c r="M9" s="1" t="n">
        <v>633905.233</v>
      </c>
      <c r="N9" s="1" t="n">
        <v>3049240.448</v>
      </c>
      <c r="O9" s="1" t="n">
        <v>56.39</v>
      </c>
      <c r="P9" s="171" t="s">
        <v>207</v>
      </c>
      <c r="Q9" s="72" t="n">
        <v>0.17</v>
      </c>
      <c r="R9" s="73" t="n">
        <v>1.49</v>
      </c>
      <c r="S9" s="90" t="n">
        <v>90</v>
      </c>
      <c r="T9" s="80"/>
      <c r="U9" s="74" t="n">
        <v>0.2</v>
      </c>
      <c r="V9" s="74" t="n">
        <v>0.22</v>
      </c>
      <c r="W9" s="74" t="n">
        <v>0.24</v>
      </c>
      <c r="X9" s="74" t="n">
        <v>0.25</v>
      </c>
      <c r="Y9" s="74" t="n">
        <v>0.24</v>
      </c>
      <c r="Z9" s="74" t="n">
        <v>0.27</v>
      </c>
      <c r="AA9" s="74" t="n">
        <v>0.24</v>
      </c>
      <c r="AB9" s="93" t="n">
        <v>0.24</v>
      </c>
      <c r="AC9" s="74"/>
      <c r="AD9" s="74"/>
      <c r="AE9" s="74"/>
      <c r="AF9" s="74"/>
      <c r="AG9" s="74"/>
      <c r="AH9" s="74"/>
      <c r="AI9" s="74"/>
      <c r="AJ9" s="74"/>
      <c r="AK9" s="74"/>
      <c r="AL9" s="74"/>
      <c r="AM9" s="74" t="n">
        <f aca="false">AVERAGE(U9:AC9)</f>
        <v>0.2375</v>
      </c>
      <c r="AN9" s="92" t="n">
        <v>3.67</v>
      </c>
      <c r="AO9" s="93"/>
      <c r="AP9" s="75"/>
      <c r="AQ9" s="73" t="n">
        <f aca="false">AN9-(AN9-Q9)*(SIN((S9+AX9)*PI()/180))/(COS(AX9*PI()/180))</f>
        <v>0.17</v>
      </c>
      <c r="AR9" s="84" t="n">
        <f aca="false">H9+($M$1-M9)-(AN9-Q9)*(COS(S9*PI()/180))*(SIN((T9+13+2.3)*PI()/180))</f>
        <v>635110.227</v>
      </c>
      <c r="AS9" s="84" t="n">
        <f aca="false">I9+($N$1-N9)-(AN9-Q9)*(COS(S9*PI()/180))*(COS((T9+13+2.3)*PI()/180))</f>
        <v>3048230.017</v>
      </c>
      <c r="AT9" s="84" t="n">
        <f aca="false">J9+($O$1-O9)-R9+AN9-(AN9-Q9)*(SIN(S9*PI()/180))-L9</f>
        <v>181.436</v>
      </c>
      <c r="AU9" s="69"/>
      <c r="AV9" s="172" t="s">
        <v>208</v>
      </c>
      <c r="AW9" s="59"/>
      <c r="AX9" s="80"/>
    </row>
    <row r="10" customFormat="false" ht="12.75" hidden="false" customHeight="true" outlineLevel="0" collapsed="false">
      <c r="A10" s="163" t="s">
        <v>209</v>
      </c>
      <c r="B10" s="96"/>
      <c r="C10" s="96"/>
      <c r="D10" s="96"/>
      <c r="E10" s="111"/>
      <c r="F10" s="169"/>
      <c r="G10" s="165"/>
      <c r="H10" s="104"/>
      <c r="I10" s="97"/>
      <c r="J10" s="97"/>
      <c r="K10" s="110"/>
      <c r="L10" s="166"/>
      <c r="M10" s="101"/>
      <c r="N10" s="101"/>
      <c r="O10" s="101"/>
      <c r="P10" s="166"/>
      <c r="Q10" s="166"/>
      <c r="R10" s="166"/>
      <c r="S10" s="105"/>
      <c r="T10" s="105"/>
      <c r="U10" s="97"/>
      <c r="V10" s="97"/>
      <c r="W10" s="97"/>
      <c r="X10" s="97"/>
      <c r="Y10" s="97"/>
      <c r="Z10" s="97"/>
      <c r="AA10" s="97"/>
      <c r="AB10" s="97"/>
      <c r="AC10" s="97"/>
      <c r="AD10" s="97"/>
      <c r="AE10" s="97"/>
      <c r="AF10" s="97"/>
      <c r="AG10" s="97"/>
      <c r="AH10" s="97"/>
      <c r="AI10" s="97"/>
      <c r="AJ10" s="97"/>
      <c r="AK10" s="97"/>
      <c r="AL10" s="97"/>
      <c r="AM10" s="97"/>
      <c r="AN10" s="107"/>
      <c r="AO10" s="97"/>
      <c r="AP10" s="109"/>
      <c r="AQ10" s="104"/>
      <c r="AR10" s="99"/>
      <c r="AS10" s="99"/>
      <c r="AT10" s="99"/>
      <c r="AU10" s="96"/>
      <c r="AV10" s="110"/>
      <c r="AW10" s="59"/>
      <c r="AX10" s="105"/>
    </row>
    <row r="11" customFormat="false" ht="12.75" hidden="false" customHeight="true" outlineLevel="0" collapsed="false">
      <c r="A11" s="168" t="s">
        <v>210</v>
      </c>
      <c r="B11" s="69" t="s">
        <v>211</v>
      </c>
      <c r="C11" s="69" t="s">
        <v>212</v>
      </c>
      <c r="D11" s="69" t="s">
        <v>103</v>
      </c>
      <c r="E11" s="61"/>
      <c r="F11" s="145"/>
      <c r="G11" s="94" t="s">
        <v>213</v>
      </c>
      <c r="H11" s="1" t="n">
        <v>635170.328</v>
      </c>
      <c r="I11" s="1" t="n">
        <v>3048693.736</v>
      </c>
      <c r="J11" s="1" t="n">
        <v>145.875</v>
      </c>
      <c r="K11" s="79" t="s">
        <v>105</v>
      </c>
      <c r="L11" s="84" t="n">
        <v>0.11</v>
      </c>
      <c r="M11" s="1" t="n">
        <v>633905.233</v>
      </c>
      <c r="N11" s="1" t="n">
        <v>3049240.448</v>
      </c>
      <c r="O11" s="1" t="n">
        <v>56.39</v>
      </c>
      <c r="P11" s="95" t="s">
        <v>106</v>
      </c>
      <c r="Q11" s="72" t="n">
        <v>2.03</v>
      </c>
      <c r="R11" s="73" t="n">
        <v>2.03</v>
      </c>
      <c r="S11" s="90" t="n">
        <v>90</v>
      </c>
      <c r="T11" s="80"/>
      <c r="U11" s="74" t="n">
        <v>0.17</v>
      </c>
      <c r="V11" s="74" t="n">
        <v>0.11</v>
      </c>
      <c r="W11" s="74" t="n">
        <v>0.25</v>
      </c>
      <c r="X11" s="74" t="n">
        <v>0.15</v>
      </c>
      <c r="Y11" s="74" t="n">
        <v>0.33</v>
      </c>
      <c r="Z11" s="74" t="n">
        <v>0.19</v>
      </c>
      <c r="AA11" s="74"/>
      <c r="AB11" s="74"/>
      <c r="AC11" s="74"/>
      <c r="AD11" s="74"/>
      <c r="AE11" s="74"/>
      <c r="AF11" s="74"/>
      <c r="AG11" s="74"/>
      <c r="AH11" s="74"/>
      <c r="AI11" s="74"/>
      <c r="AJ11" s="74"/>
      <c r="AK11" s="74"/>
      <c r="AL11" s="74"/>
      <c r="AM11" s="74" t="n">
        <f aca="false">AVERAGE(U11:AC11)</f>
        <v>0.2</v>
      </c>
      <c r="AN11" s="92" t="n">
        <v>3.67</v>
      </c>
      <c r="AO11" s="93"/>
      <c r="AP11" s="75"/>
      <c r="AQ11" s="73" t="n">
        <f aca="false">AN11-(AN11-Q11)*(SIN((S11+AX11)*PI()/180))/(COS(AX11*PI()/180))</f>
        <v>2.03</v>
      </c>
      <c r="AR11" s="84" t="n">
        <f aca="false">H11+($M$1-M11)-(AN11-Q11)*(COS(S11*PI()/180))*(SIN((T11+13+2.3)*PI()/180))</f>
        <v>635170.328</v>
      </c>
      <c r="AS11" s="84" t="n">
        <f aca="false">I11+($N$1-N11)-(AN11-Q11)*(COS(S11*PI()/180))*(COS((T11+13+2.3)*PI()/180))</f>
        <v>3048693.736</v>
      </c>
      <c r="AT11" s="84" t="n">
        <f aca="false">J11+($O$1-O11)-R11+AN11-(AN11-Q11)*(SIN(S11*PI()/180))-L11</f>
        <v>145.655</v>
      </c>
      <c r="AU11" s="69"/>
      <c r="AV11" s="79"/>
      <c r="AW11" s="59"/>
      <c r="AX11" s="80"/>
    </row>
    <row r="12" customFormat="false" ht="12.75" hidden="false" customHeight="true" outlineLevel="0" collapsed="false">
      <c r="A12" s="163" t="s">
        <v>214</v>
      </c>
      <c r="B12" s="96"/>
      <c r="C12" s="96"/>
      <c r="D12" s="96"/>
      <c r="E12" s="111"/>
      <c r="F12" s="169"/>
      <c r="G12" s="165"/>
      <c r="H12" s="104"/>
      <c r="I12" s="97"/>
      <c r="J12" s="97"/>
      <c r="K12" s="110"/>
      <c r="L12" s="166"/>
      <c r="M12" s="101"/>
      <c r="N12" s="101"/>
      <c r="O12" s="101"/>
      <c r="P12" s="102"/>
      <c r="Q12" s="103"/>
      <c r="R12" s="104"/>
      <c r="S12" s="105"/>
      <c r="T12" s="105"/>
      <c r="U12" s="97"/>
      <c r="V12" s="97"/>
      <c r="W12" s="97"/>
      <c r="X12" s="97"/>
      <c r="Y12" s="97"/>
      <c r="Z12" s="97"/>
      <c r="AA12" s="97"/>
      <c r="AB12" s="97"/>
      <c r="AC12" s="97"/>
      <c r="AD12" s="97"/>
      <c r="AE12" s="97"/>
      <c r="AF12" s="97"/>
      <c r="AG12" s="97"/>
      <c r="AH12" s="97"/>
      <c r="AI12" s="97"/>
      <c r="AJ12" s="97"/>
      <c r="AK12" s="97"/>
      <c r="AL12" s="97"/>
      <c r="AM12" s="97"/>
      <c r="AN12" s="107"/>
      <c r="AO12" s="97"/>
      <c r="AP12" s="109"/>
      <c r="AQ12" s="104"/>
      <c r="AR12" s="99"/>
      <c r="AS12" s="99"/>
      <c r="AT12" s="99"/>
      <c r="AU12" s="96"/>
      <c r="AV12" s="110"/>
      <c r="AW12" s="59"/>
      <c r="AX12" s="105"/>
    </row>
    <row r="13" customFormat="false" ht="12.75" hidden="false" customHeight="true" outlineLevel="0" collapsed="false">
      <c r="A13" s="163" t="s">
        <v>215</v>
      </c>
      <c r="B13" s="96"/>
      <c r="C13" s="96"/>
      <c r="D13" s="96"/>
      <c r="E13" s="111"/>
      <c r="F13" s="169"/>
      <c r="G13" s="165"/>
      <c r="H13" s="104"/>
      <c r="I13" s="97"/>
      <c r="J13" s="97"/>
      <c r="K13" s="110"/>
      <c r="L13" s="166"/>
      <c r="M13" s="101"/>
      <c r="N13" s="101"/>
      <c r="O13" s="101"/>
      <c r="P13" s="102"/>
      <c r="Q13" s="103"/>
      <c r="R13" s="104"/>
      <c r="S13" s="105"/>
      <c r="T13" s="105"/>
      <c r="U13" s="97"/>
      <c r="V13" s="97"/>
      <c r="W13" s="97"/>
      <c r="X13" s="97"/>
      <c r="Y13" s="97"/>
      <c r="Z13" s="97"/>
      <c r="AA13" s="97"/>
      <c r="AB13" s="97"/>
      <c r="AC13" s="97"/>
      <c r="AD13" s="97"/>
      <c r="AE13" s="97"/>
      <c r="AF13" s="97"/>
      <c r="AG13" s="97"/>
      <c r="AH13" s="97"/>
      <c r="AI13" s="97"/>
      <c r="AJ13" s="97"/>
      <c r="AK13" s="97"/>
      <c r="AL13" s="97"/>
      <c r="AM13" s="97"/>
      <c r="AN13" s="107"/>
      <c r="AO13" s="97"/>
      <c r="AP13" s="109"/>
      <c r="AQ13" s="104"/>
      <c r="AR13" s="99"/>
      <c r="AS13" s="99"/>
      <c r="AT13" s="99"/>
      <c r="AU13" s="96"/>
      <c r="AV13" s="110"/>
      <c r="AW13" s="59"/>
      <c r="AX13" s="105"/>
    </row>
    <row r="14" customFormat="false" ht="12.75" hidden="false" customHeight="true" outlineLevel="0" collapsed="false">
      <c r="A14" s="163" t="s">
        <v>216</v>
      </c>
      <c r="B14" s="96"/>
      <c r="C14" s="96"/>
      <c r="D14" s="96"/>
      <c r="E14" s="111"/>
      <c r="F14" s="169"/>
      <c r="G14" s="165"/>
      <c r="H14" s="104"/>
      <c r="I14" s="97"/>
      <c r="J14" s="97"/>
      <c r="K14" s="110"/>
      <c r="L14" s="166"/>
      <c r="M14" s="101"/>
      <c r="N14" s="101"/>
      <c r="O14" s="101"/>
      <c r="P14" s="102"/>
      <c r="Q14" s="103"/>
      <c r="R14" s="104"/>
      <c r="S14" s="105"/>
      <c r="T14" s="105"/>
      <c r="U14" s="97"/>
      <c r="V14" s="97"/>
      <c r="W14" s="97"/>
      <c r="X14" s="97"/>
      <c r="Y14" s="97"/>
      <c r="Z14" s="97"/>
      <c r="AA14" s="97"/>
      <c r="AB14" s="97"/>
      <c r="AC14" s="97"/>
      <c r="AD14" s="97"/>
      <c r="AE14" s="97"/>
      <c r="AF14" s="97"/>
      <c r="AG14" s="97"/>
      <c r="AH14" s="97"/>
      <c r="AI14" s="97"/>
      <c r="AJ14" s="97"/>
      <c r="AK14" s="97"/>
      <c r="AL14" s="97"/>
      <c r="AM14" s="97"/>
      <c r="AN14" s="107"/>
      <c r="AO14" s="97"/>
      <c r="AP14" s="109"/>
      <c r="AQ14" s="104"/>
      <c r="AR14" s="99"/>
      <c r="AS14" s="99"/>
      <c r="AT14" s="99"/>
      <c r="AU14" s="96"/>
      <c r="AV14" s="110"/>
      <c r="AW14" s="59"/>
      <c r="AX14" s="105"/>
    </row>
    <row r="15" customFormat="false" ht="12.75" hidden="false" customHeight="true" outlineLevel="0" collapsed="false">
      <c r="A15" s="163" t="s">
        <v>217</v>
      </c>
      <c r="B15" s="96"/>
      <c r="C15" s="96"/>
      <c r="D15" s="96"/>
      <c r="E15" s="111"/>
      <c r="F15" s="169"/>
      <c r="G15" s="165"/>
      <c r="H15" s="104"/>
      <c r="I15" s="97"/>
      <c r="J15" s="97"/>
      <c r="K15" s="110"/>
      <c r="L15" s="166"/>
      <c r="M15" s="101"/>
      <c r="N15" s="101"/>
      <c r="O15" s="101"/>
      <c r="P15" s="102"/>
      <c r="Q15" s="103"/>
      <c r="R15" s="104"/>
      <c r="S15" s="105"/>
      <c r="T15" s="105"/>
      <c r="U15" s="97"/>
      <c r="V15" s="97"/>
      <c r="W15" s="97"/>
      <c r="X15" s="97"/>
      <c r="Y15" s="97"/>
      <c r="Z15" s="97"/>
      <c r="AA15" s="97"/>
      <c r="AB15" s="97"/>
      <c r="AC15" s="97"/>
      <c r="AD15" s="97"/>
      <c r="AE15" s="97"/>
      <c r="AF15" s="97"/>
      <c r="AG15" s="97"/>
      <c r="AH15" s="97"/>
      <c r="AI15" s="97"/>
      <c r="AJ15" s="97"/>
      <c r="AK15" s="97"/>
      <c r="AL15" s="97"/>
      <c r="AM15" s="97"/>
      <c r="AN15" s="107"/>
      <c r="AO15" s="97"/>
      <c r="AP15" s="109"/>
      <c r="AQ15" s="104"/>
      <c r="AR15" s="99"/>
      <c r="AS15" s="99"/>
      <c r="AT15" s="99"/>
      <c r="AU15" s="96"/>
      <c r="AV15" s="110"/>
      <c r="AW15" s="59"/>
      <c r="AX15" s="105"/>
    </row>
    <row r="16" customFormat="false" ht="12.75" hidden="false" customHeight="true" outlineLevel="0" collapsed="false">
      <c r="A16" s="163" t="s">
        <v>218</v>
      </c>
      <c r="B16" s="96"/>
      <c r="C16" s="96"/>
      <c r="D16" s="96"/>
      <c r="E16" s="111"/>
      <c r="F16" s="169"/>
      <c r="G16" s="165"/>
      <c r="H16" s="104"/>
      <c r="I16" s="97"/>
      <c r="J16" s="97"/>
      <c r="K16" s="110"/>
      <c r="L16" s="166"/>
      <c r="M16" s="101"/>
      <c r="N16" s="101"/>
      <c r="O16" s="101"/>
      <c r="P16" s="102"/>
      <c r="Q16" s="103"/>
      <c r="R16" s="104"/>
      <c r="S16" s="105"/>
      <c r="T16" s="105"/>
      <c r="U16" s="97"/>
      <c r="V16" s="97"/>
      <c r="W16" s="97"/>
      <c r="X16" s="97"/>
      <c r="Y16" s="97"/>
      <c r="Z16" s="97"/>
      <c r="AA16" s="97"/>
      <c r="AB16" s="97"/>
      <c r="AC16" s="97"/>
      <c r="AD16" s="97"/>
      <c r="AE16" s="97"/>
      <c r="AF16" s="97"/>
      <c r="AG16" s="97"/>
      <c r="AH16" s="97"/>
      <c r="AI16" s="97"/>
      <c r="AJ16" s="97"/>
      <c r="AK16" s="97"/>
      <c r="AL16" s="97"/>
      <c r="AM16" s="97"/>
      <c r="AN16" s="107"/>
      <c r="AO16" s="97"/>
      <c r="AP16" s="109"/>
      <c r="AQ16" s="104"/>
      <c r="AR16" s="99"/>
      <c r="AS16" s="99"/>
      <c r="AT16" s="99"/>
      <c r="AU16" s="96"/>
      <c r="AV16" s="110"/>
      <c r="AW16" s="59"/>
      <c r="AX16" s="105"/>
    </row>
    <row r="17" customFormat="false" ht="12.75" hidden="false" customHeight="true" outlineLevel="0" collapsed="false">
      <c r="A17" s="168" t="s">
        <v>219</v>
      </c>
      <c r="B17" s="69" t="s">
        <v>113</v>
      </c>
      <c r="C17" s="69"/>
      <c r="D17" s="69" t="s">
        <v>103</v>
      </c>
      <c r="E17" s="61"/>
      <c r="F17" s="145"/>
      <c r="G17" s="94" t="s">
        <v>114</v>
      </c>
      <c r="H17" s="1" t="n">
        <v>636318.376</v>
      </c>
      <c r="I17" s="1" t="n">
        <v>3049667.066</v>
      </c>
      <c r="J17" s="1" t="n">
        <v>288.932</v>
      </c>
      <c r="K17" s="79" t="s">
        <v>105</v>
      </c>
      <c r="L17" s="84" t="n">
        <v>0.11</v>
      </c>
      <c r="M17" s="1" t="n">
        <v>633905.233</v>
      </c>
      <c r="N17" s="1" t="n">
        <v>3049240.448</v>
      </c>
      <c r="O17" s="1" t="n">
        <v>56.39</v>
      </c>
      <c r="P17" s="95" t="s">
        <v>106</v>
      </c>
      <c r="Q17" s="72" t="n">
        <v>1.38</v>
      </c>
      <c r="R17" s="73" t="n">
        <v>1.38</v>
      </c>
      <c r="S17" s="90" t="n">
        <v>90</v>
      </c>
      <c r="T17" s="80"/>
      <c r="U17" s="74" t="n">
        <v>0.6</v>
      </c>
      <c r="V17" s="74" t="n">
        <v>0.59</v>
      </c>
      <c r="W17" s="74" t="n">
        <v>0.63</v>
      </c>
      <c r="X17" s="74" t="n">
        <v>0.64</v>
      </c>
      <c r="Y17" s="74" t="n">
        <v>0.59</v>
      </c>
      <c r="Z17" s="74" t="n">
        <v>0.63</v>
      </c>
      <c r="AA17" s="74"/>
      <c r="AB17" s="74"/>
      <c r="AC17" s="74"/>
      <c r="AD17" s="74"/>
      <c r="AE17" s="74"/>
      <c r="AF17" s="74"/>
      <c r="AG17" s="74"/>
      <c r="AH17" s="74"/>
      <c r="AI17" s="74"/>
      <c r="AJ17" s="74"/>
      <c r="AK17" s="74"/>
      <c r="AL17" s="74"/>
      <c r="AM17" s="74" t="n">
        <f aca="false">AVERAGE(U17:AC17)</f>
        <v>0.613333333333333</v>
      </c>
      <c r="AN17" s="92" t="n">
        <v>3.67</v>
      </c>
      <c r="AO17" s="93"/>
      <c r="AP17" s="75"/>
      <c r="AQ17" s="73" t="n">
        <f aca="false">AN17-(AN17-Q17)*(SIN((S17+AX17)*PI()/180))/(COS(AX17*PI()/180))</f>
        <v>1.38</v>
      </c>
      <c r="AR17" s="84" t="n">
        <f aca="false">H17+($M$1-M17)-(AN17-Q17)*(COS(S17*PI()/180))*(SIN((T17+13+2.3)*PI()/180))</f>
        <v>636318.376</v>
      </c>
      <c r="AS17" s="84" t="n">
        <f aca="false">I17+($N$1-N17)-(AN17-Q17)*(COS(S17*PI()/180))*(COS((T17+13+2.3)*PI()/180))</f>
        <v>3049667.066</v>
      </c>
      <c r="AT17" s="84" t="n">
        <f aca="false">J17+($O$1-O17)-R17+AN17-(AN17-Q17)*(SIN(S17*PI()/180))-L17</f>
        <v>288.712</v>
      </c>
      <c r="AU17" s="69"/>
      <c r="AV17" s="79"/>
      <c r="AW17" s="59"/>
      <c r="AX17" s="80"/>
    </row>
    <row r="18" customFormat="false" ht="12.75" hidden="false" customHeight="true" outlineLevel="0" collapsed="false">
      <c r="A18" s="168" t="s">
        <v>220</v>
      </c>
      <c r="B18" s="69" t="s">
        <v>211</v>
      </c>
      <c r="C18" s="69"/>
      <c r="D18" s="69" t="s">
        <v>103</v>
      </c>
      <c r="E18" s="61"/>
      <c r="F18" s="145"/>
      <c r="G18" s="94" t="s">
        <v>213</v>
      </c>
      <c r="H18" s="1" t="n">
        <v>635929.668</v>
      </c>
      <c r="I18" s="1" t="n">
        <v>3049403.369</v>
      </c>
      <c r="J18" s="1" t="n">
        <v>207.891</v>
      </c>
      <c r="K18" s="79" t="s">
        <v>105</v>
      </c>
      <c r="L18" s="84" t="n">
        <v>0.11</v>
      </c>
      <c r="M18" s="1" t="n">
        <v>633905.233</v>
      </c>
      <c r="N18" s="1" t="n">
        <v>3049240.448</v>
      </c>
      <c r="O18" s="1" t="n">
        <v>56.39</v>
      </c>
      <c r="P18" s="95" t="s">
        <v>106</v>
      </c>
      <c r="Q18" s="72" t="n">
        <v>1.45</v>
      </c>
      <c r="R18" s="73" t="n">
        <v>1.45</v>
      </c>
      <c r="S18" s="90" t="n">
        <v>90</v>
      </c>
      <c r="T18" s="80"/>
      <c r="U18" s="74" t="n">
        <v>0.23</v>
      </c>
      <c r="V18" s="74" t="n">
        <v>0.2</v>
      </c>
      <c r="W18" s="74" t="n">
        <v>0.19</v>
      </c>
      <c r="X18" s="74" t="n">
        <v>0.23</v>
      </c>
      <c r="Y18" s="74" t="n">
        <v>0.23</v>
      </c>
      <c r="Z18" s="1" t="n">
        <v>0.26</v>
      </c>
      <c r="AA18" s="74" t="n">
        <v>0.3</v>
      </c>
      <c r="AB18" s="74"/>
      <c r="AC18" s="74"/>
      <c r="AD18" s="74"/>
      <c r="AE18" s="74"/>
      <c r="AF18" s="74"/>
      <c r="AG18" s="74"/>
      <c r="AH18" s="74"/>
      <c r="AI18" s="74"/>
      <c r="AJ18" s="74"/>
      <c r="AK18" s="74"/>
      <c r="AL18" s="74"/>
      <c r="AM18" s="74" t="n">
        <f aca="false">AVERAGE(U18:AC18)</f>
        <v>0.234285714285714</v>
      </c>
      <c r="AN18" s="92" t="n">
        <v>3.67</v>
      </c>
      <c r="AO18" s="93"/>
      <c r="AP18" s="75"/>
      <c r="AQ18" s="73" t="n">
        <f aca="false">AN18-(AN18-Q18)*(SIN((S18+AX18)*PI()/180))/(COS(AX18*PI()/180))</f>
        <v>1.45</v>
      </c>
      <c r="AR18" s="84" t="n">
        <f aca="false">H18+($M$1-M18)-(AN18-Q18)*(COS(S18*PI()/180))*(SIN((T18+13+2.3)*PI()/180))</f>
        <v>635929.668</v>
      </c>
      <c r="AS18" s="84" t="n">
        <f aca="false">I18+($N$1-N18)-(AN18-Q18)*(COS(S18*PI()/180))*(COS((T18+13+2.3)*PI()/180))</f>
        <v>3049403.369</v>
      </c>
      <c r="AT18" s="84" t="n">
        <f aca="false">J18+($O$1-O18)-R18+AN18-(AN18-Q18)*(SIN(S18*PI()/180))-L18</f>
        <v>207.671</v>
      </c>
      <c r="AU18" s="69"/>
      <c r="AV18" s="79"/>
      <c r="AW18" s="59"/>
      <c r="AX18" s="80"/>
    </row>
    <row r="19" customFormat="false" ht="12.75" hidden="false" customHeight="true" outlineLevel="0" collapsed="false">
      <c r="A19" s="163" t="s">
        <v>221</v>
      </c>
      <c r="B19" s="96"/>
      <c r="C19" s="96"/>
      <c r="D19" s="96"/>
      <c r="E19" s="111"/>
      <c r="F19" s="169"/>
      <c r="G19" s="165"/>
      <c r="H19" s="104"/>
      <c r="I19" s="97"/>
      <c r="J19" s="97"/>
      <c r="K19" s="110"/>
      <c r="L19" s="166"/>
      <c r="M19" s="101"/>
      <c r="N19" s="101"/>
      <c r="O19" s="101"/>
      <c r="P19" s="102"/>
      <c r="Q19" s="103"/>
      <c r="R19" s="104"/>
      <c r="S19" s="105"/>
      <c r="T19" s="105"/>
      <c r="U19" s="97"/>
      <c r="V19" s="97"/>
      <c r="W19" s="97"/>
      <c r="X19" s="97"/>
      <c r="Y19" s="97"/>
      <c r="Z19" s="97"/>
      <c r="AA19" s="97"/>
      <c r="AB19" s="97"/>
      <c r="AC19" s="97"/>
      <c r="AD19" s="97"/>
      <c r="AE19" s="97"/>
      <c r="AF19" s="97"/>
      <c r="AG19" s="97"/>
      <c r="AH19" s="97"/>
      <c r="AI19" s="97"/>
      <c r="AJ19" s="97"/>
      <c r="AK19" s="97"/>
      <c r="AL19" s="97"/>
      <c r="AM19" s="97"/>
      <c r="AN19" s="107"/>
      <c r="AO19" s="97"/>
      <c r="AP19" s="109"/>
      <c r="AQ19" s="104"/>
      <c r="AR19" s="99"/>
      <c r="AS19" s="99"/>
      <c r="AT19" s="99"/>
      <c r="AU19" s="96"/>
      <c r="AV19" s="110"/>
      <c r="AW19" s="59"/>
      <c r="AX19" s="105"/>
    </row>
    <row r="20" customFormat="false" ht="12.75" hidden="false" customHeight="true" outlineLevel="0" collapsed="false">
      <c r="A20" s="163" t="s">
        <v>222</v>
      </c>
      <c r="B20" s="96"/>
      <c r="C20" s="96"/>
      <c r="D20" s="96"/>
      <c r="E20" s="111"/>
      <c r="F20" s="169"/>
      <c r="G20" s="165"/>
      <c r="H20" s="104"/>
      <c r="I20" s="97"/>
      <c r="J20" s="97"/>
      <c r="K20" s="110"/>
      <c r="L20" s="166"/>
      <c r="M20" s="101"/>
      <c r="N20" s="101"/>
      <c r="O20" s="101"/>
      <c r="P20" s="102"/>
      <c r="Q20" s="103"/>
      <c r="R20" s="104"/>
      <c r="S20" s="105"/>
      <c r="T20" s="105"/>
      <c r="U20" s="97"/>
      <c r="V20" s="97"/>
      <c r="W20" s="97"/>
      <c r="X20" s="97"/>
      <c r="Y20" s="97"/>
      <c r="Z20" s="97"/>
      <c r="AA20" s="97"/>
      <c r="AB20" s="97"/>
      <c r="AC20" s="97"/>
      <c r="AD20" s="97"/>
      <c r="AE20" s="97"/>
      <c r="AF20" s="97"/>
      <c r="AG20" s="97"/>
      <c r="AH20" s="97"/>
      <c r="AI20" s="97"/>
      <c r="AJ20" s="97"/>
      <c r="AK20" s="97"/>
      <c r="AL20" s="97"/>
      <c r="AM20" s="97"/>
      <c r="AN20" s="107"/>
      <c r="AO20" s="97"/>
      <c r="AP20" s="109"/>
      <c r="AQ20" s="104"/>
      <c r="AR20" s="99"/>
      <c r="AS20" s="99"/>
      <c r="AT20" s="99"/>
      <c r="AU20" s="96"/>
      <c r="AV20" s="110"/>
      <c r="AW20" s="59"/>
      <c r="AX20" s="105"/>
    </row>
    <row r="21" customFormat="false" ht="12.75" hidden="false" customHeight="true" outlineLevel="0" collapsed="false">
      <c r="A21" s="163" t="s">
        <v>223</v>
      </c>
      <c r="B21" s="96"/>
      <c r="C21" s="96"/>
      <c r="D21" s="96"/>
      <c r="E21" s="111"/>
      <c r="F21" s="169"/>
      <c r="G21" s="165"/>
      <c r="H21" s="104"/>
      <c r="I21" s="97"/>
      <c r="J21" s="97"/>
      <c r="K21" s="110"/>
      <c r="L21" s="166"/>
      <c r="M21" s="101"/>
      <c r="N21" s="101"/>
      <c r="O21" s="101"/>
      <c r="P21" s="102"/>
      <c r="Q21" s="103"/>
      <c r="R21" s="104"/>
      <c r="S21" s="105"/>
      <c r="T21" s="105"/>
      <c r="U21" s="97"/>
      <c r="V21" s="97"/>
      <c r="W21" s="97"/>
      <c r="X21" s="97"/>
      <c r="Y21" s="97"/>
      <c r="Z21" s="97"/>
      <c r="AA21" s="97"/>
      <c r="AB21" s="97"/>
      <c r="AC21" s="97"/>
      <c r="AD21" s="97"/>
      <c r="AE21" s="97"/>
      <c r="AF21" s="97"/>
      <c r="AG21" s="97"/>
      <c r="AH21" s="97"/>
      <c r="AI21" s="97"/>
      <c r="AJ21" s="97"/>
      <c r="AK21" s="97"/>
      <c r="AL21" s="97"/>
      <c r="AM21" s="97"/>
      <c r="AN21" s="107"/>
      <c r="AO21" s="97"/>
      <c r="AP21" s="109"/>
      <c r="AQ21" s="104"/>
      <c r="AR21" s="99"/>
      <c r="AS21" s="99"/>
      <c r="AT21" s="99"/>
      <c r="AU21" s="96"/>
      <c r="AV21" s="110"/>
      <c r="AW21" s="59"/>
      <c r="AX21" s="105"/>
    </row>
    <row r="22" customFormat="false" ht="12.75" hidden="false" customHeight="true" outlineLevel="0" collapsed="false">
      <c r="A22" s="163" t="s">
        <v>224</v>
      </c>
      <c r="B22" s="96"/>
      <c r="C22" s="96"/>
      <c r="D22" s="96"/>
      <c r="E22" s="111"/>
      <c r="F22" s="169"/>
      <c r="G22" s="165"/>
      <c r="H22" s="104"/>
      <c r="I22" s="97"/>
      <c r="J22" s="97"/>
      <c r="K22" s="110"/>
      <c r="L22" s="166"/>
      <c r="M22" s="101"/>
      <c r="N22" s="101"/>
      <c r="O22" s="101"/>
      <c r="P22" s="102"/>
      <c r="Q22" s="103"/>
      <c r="R22" s="104"/>
      <c r="S22" s="105"/>
      <c r="T22" s="105"/>
      <c r="U22" s="97"/>
      <c r="V22" s="97"/>
      <c r="W22" s="97"/>
      <c r="X22" s="97"/>
      <c r="Y22" s="97"/>
      <c r="Z22" s="97"/>
      <c r="AA22" s="97"/>
      <c r="AB22" s="97"/>
      <c r="AC22" s="97"/>
      <c r="AD22" s="97"/>
      <c r="AE22" s="97"/>
      <c r="AF22" s="97"/>
      <c r="AG22" s="97"/>
      <c r="AH22" s="97"/>
      <c r="AI22" s="97"/>
      <c r="AJ22" s="97"/>
      <c r="AK22" s="97"/>
      <c r="AL22" s="97"/>
      <c r="AM22" s="97"/>
      <c r="AN22" s="107"/>
      <c r="AO22" s="97"/>
      <c r="AP22" s="109"/>
      <c r="AQ22" s="104"/>
      <c r="AR22" s="99"/>
      <c r="AS22" s="99"/>
      <c r="AT22" s="99"/>
      <c r="AU22" s="96"/>
      <c r="AV22" s="110"/>
      <c r="AW22" s="59"/>
      <c r="AX22" s="105"/>
    </row>
    <row r="23" customFormat="false" ht="12.75" hidden="false" customHeight="true" outlineLevel="0" collapsed="false">
      <c r="A23" s="163" t="s">
        <v>225</v>
      </c>
      <c r="B23" s="96"/>
      <c r="C23" s="96"/>
      <c r="D23" s="96"/>
      <c r="E23" s="111"/>
      <c r="F23" s="169"/>
      <c r="G23" s="165"/>
      <c r="H23" s="104"/>
      <c r="I23" s="97"/>
      <c r="J23" s="97"/>
      <c r="K23" s="110"/>
      <c r="L23" s="166"/>
      <c r="M23" s="101"/>
      <c r="N23" s="101"/>
      <c r="O23" s="101"/>
      <c r="P23" s="102"/>
      <c r="Q23" s="103"/>
      <c r="R23" s="104"/>
      <c r="S23" s="105"/>
      <c r="T23" s="105"/>
      <c r="U23" s="97"/>
      <c r="V23" s="97"/>
      <c r="W23" s="97"/>
      <c r="X23" s="97"/>
      <c r="Y23" s="97"/>
      <c r="Z23" s="97"/>
      <c r="AA23" s="97"/>
      <c r="AB23" s="97"/>
      <c r="AC23" s="97"/>
      <c r="AD23" s="97"/>
      <c r="AE23" s="97"/>
      <c r="AF23" s="97"/>
      <c r="AG23" s="97"/>
      <c r="AH23" s="97"/>
      <c r="AI23" s="97"/>
      <c r="AJ23" s="97"/>
      <c r="AK23" s="97"/>
      <c r="AL23" s="97"/>
      <c r="AM23" s="97"/>
      <c r="AN23" s="107"/>
      <c r="AO23" s="97"/>
      <c r="AP23" s="109"/>
      <c r="AQ23" s="104"/>
      <c r="AR23" s="99"/>
      <c r="AS23" s="99"/>
      <c r="AT23" s="99"/>
      <c r="AU23" s="96"/>
      <c r="AV23" s="110"/>
      <c r="AW23" s="59"/>
      <c r="AX23" s="105"/>
    </row>
    <row r="24" customFormat="false" ht="12.75" hidden="false" customHeight="true" outlineLevel="0" collapsed="false">
      <c r="A24" s="163" t="s">
        <v>226</v>
      </c>
      <c r="B24" s="96"/>
      <c r="C24" s="96"/>
      <c r="D24" s="96"/>
      <c r="E24" s="111"/>
      <c r="F24" s="169"/>
      <c r="G24" s="165"/>
      <c r="H24" s="104"/>
      <c r="I24" s="97"/>
      <c r="J24" s="97"/>
      <c r="K24" s="110"/>
      <c r="L24" s="166"/>
      <c r="M24" s="101"/>
      <c r="N24" s="101"/>
      <c r="O24" s="101"/>
      <c r="P24" s="102"/>
      <c r="Q24" s="103"/>
      <c r="R24" s="104"/>
      <c r="S24" s="105"/>
      <c r="T24" s="105"/>
      <c r="U24" s="97"/>
      <c r="V24" s="97"/>
      <c r="W24" s="97"/>
      <c r="X24" s="97"/>
      <c r="Y24" s="97"/>
      <c r="Z24" s="97"/>
      <c r="AA24" s="97"/>
      <c r="AB24" s="97"/>
      <c r="AC24" s="97"/>
      <c r="AD24" s="97"/>
      <c r="AE24" s="97"/>
      <c r="AF24" s="97"/>
      <c r="AG24" s="97"/>
      <c r="AH24" s="97"/>
      <c r="AI24" s="97"/>
      <c r="AJ24" s="97"/>
      <c r="AK24" s="97"/>
      <c r="AL24" s="97"/>
      <c r="AM24" s="97"/>
      <c r="AN24" s="107"/>
      <c r="AO24" s="97"/>
      <c r="AP24" s="109"/>
      <c r="AQ24" s="104"/>
      <c r="AR24" s="99"/>
      <c r="AS24" s="99"/>
      <c r="AT24" s="99"/>
      <c r="AU24" s="96"/>
      <c r="AV24" s="110"/>
      <c r="AW24" s="59"/>
      <c r="AX24" s="105"/>
    </row>
    <row r="25" customFormat="false" ht="12.75" hidden="false" customHeight="true" outlineLevel="0" collapsed="false">
      <c r="A25" s="163" t="s">
        <v>227</v>
      </c>
      <c r="B25" s="96"/>
      <c r="C25" s="96"/>
      <c r="D25" s="96"/>
      <c r="E25" s="111"/>
      <c r="F25" s="169"/>
      <c r="G25" s="165"/>
      <c r="H25" s="104"/>
      <c r="I25" s="97"/>
      <c r="J25" s="97"/>
      <c r="K25" s="110"/>
      <c r="L25" s="166"/>
      <c r="M25" s="101"/>
      <c r="N25" s="101"/>
      <c r="O25" s="101"/>
      <c r="P25" s="102"/>
      <c r="Q25" s="103"/>
      <c r="R25" s="104"/>
      <c r="S25" s="105"/>
      <c r="T25" s="105"/>
      <c r="U25" s="97"/>
      <c r="V25" s="97"/>
      <c r="W25" s="97"/>
      <c r="X25" s="97"/>
      <c r="Y25" s="97"/>
      <c r="Z25" s="97"/>
      <c r="AA25" s="97"/>
      <c r="AB25" s="97"/>
      <c r="AC25" s="97"/>
      <c r="AD25" s="97"/>
      <c r="AE25" s="97"/>
      <c r="AF25" s="97"/>
      <c r="AG25" s="97"/>
      <c r="AH25" s="97"/>
      <c r="AI25" s="97"/>
      <c r="AJ25" s="97"/>
      <c r="AK25" s="97"/>
      <c r="AL25" s="97"/>
      <c r="AM25" s="97"/>
      <c r="AN25" s="107"/>
      <c r="AO25" s="97"/>
      <c r="AP25" s="109"/>
      <c r="AQ25" s="104"/>
      <c r="AR25" s="99"/>
      <c r="AS25" s="99"/>
      <c r="AT25" s="99"/>
      <c r="AU25" s="96"/>
      <c r="AV25" s="110"/>
      <c r="AW25" s="59"/>
      <c r="AX25" s="105"/>
    </row>
    <row r="26" customFormat="false" ht="12.75" hidden="false" customHeight="true" outlineLevel="0" collapsed="false">
      <c r="A26" s="163" t="s">
        <v>228</v>
      </c>
      <c r="B26" s="96"/>
      <c r="C26" s="96"/>
      <c r="D26" s="96"/>
      <c r="E26" s="111"/>
      <c r="F26" s="169"/>
      <c r="G26" s="165"/>
      <c r="H26" s="104"/>
      <c r="I26" s="97"/>
      <c r="J26" s="97"/>
      <c r="K26" s="110"/>
      <c r="L26" s="166"/>
      <c r="M26" s="101"/>
      <c r="N26" s="101"/>
      <c r="O26" s="101"/>
      <c r="P26" s="102"/>
      <c r="Q26" s="103"/>
      <c r="R26" s="104"/>
      <c r="S26" s="105"/>
      <c r="T26" s="105"/>
      <c r="U26" s="97"/>
      <c r="V26" s="97"/>
      <c r="W26" s="97"/>
      <c r="X26" s="97"/>
      <c r="Y26" s="97"/>
      <c r="Z26" s="97"/>
      <c r="AA26" s="97"/>
      <c r="AB26" s="97"/>
      <c r="AC26" s="97"/>
      <c r="AD26" s="97"/>
      <c r="AE26" s="97"/>
      <c r="AF26" s="97"/>
      <c r="AG26" s="97"/>
      <c r="AH26" s="97"/>
      <c r="AI26" s="97"/>
      <c r="AJ26" s="97"/>
      <c r="AK26" s="97"/>
      <c r="AL26" s="97"/>
      <c r="AM26" s="97"/>
      <c r="AN26" s="107"/>
      <c r="AO26" s="97"/>
      <c r="AP26" s="109"/>
      <c r="AQ26" s="104"/>
      <c r="AR26" s="99"/>
      <c r="AS26" s="99"/>
      <c r="AT26" s="99"/>
      <c r="AU26" s="96"/>
      <c r="AV26" s="110"/>
      <c r="AW26" s="59"/>
      <c r="AX26" s="105"/>
    </row>
    <row r="27" customFormat="false" ht="12.75" hidden="false" customHeight="true" outlineLevel="0" collapsed="false">
      <c r="A27" s="163" t="s">
        <v>229</v>
      </c>
      <c r="B27" s="96"/>
      <c r="C27" s="96"/>
      <c r="D27" s="96"/>
      <c r="E27" s="111"/>
      <c r="F27" s="169"/>
      <c r="G27" s="165"/>
      <c r="H27" s="104"/>
      <c r="I27" s="97"/>
      <c r="J27" s="97"/>
      <c r="K27" s="110"/>
      <c r="L27" s="166"/>
      <c r="M27" s="101"/>
      <c r="N27" s="101"/>
      <c r="O27" s="101"/>
      <c r="P27" s="102"/>
      <c r="Q27" s="103"/>
      <c r="R27" s="104"/>
      <c r="S27" s="105"/>
      <c r="T27" s="105"/>
      <c r="U27" s="97"/>
      <c r="V27" s="97"/>
      <c r="W27" s="97"/>
      <c r="X27" s="97"/>
      <c r="Y27" s="97"/>
      <c r="Z27" s="97"/>
      <c r="AA27" s="97"/>
      <c r="AB27" s="97"/>
      <c r="AC27" s="97"/>
      <c r="AD27" s="97"/>
      <c r="AE27" s="97"/>
      <c r="AF27" s="97"/>
      <c r="AG27" s="97"/>
      <c r="AH27" s="97"/>
      <c r="AI27" s="97"/>
      <c r="AJ27" s="97"/>
      <c r="AK27" s="97"/>
      <c r="AL27" s="97"/>
      <c r="AM27" s="97"/>
      <c r="AN27" s="107"/>
      <c r="AO27" s="97"/>
      <c r="AP27" s="109"/>
      <c r="AQ27" s="104"/>
      <c r="AR27" s="99"/>
      <c r="AS27" s="99"/>
      <c r="AT27" s="99"/>
      <c r="AU27" s="96"/>
      <c r="AV27" s="110"/>
      <c r="AW27" s="59"/>
      <c r="AX27" s="105"/>
    </row>
    <row r="28" customFormat="false" ht="12.75" hidden="false" customHeight="true" outlineLevel="0" collapsed="false">
      <c r="A28" s="163" t="s">
        <v>230</v>
      </c>
      <c r="B28" s="96"/>
      <c r="C28" s="96"/>
      <c r="D28" s="96"/>
      <c r="E28" s="111"/>
      <c r="F28" s="169"/>
      <c r="G28" s="165"/>
      <c r="H28" s="104"/>
      <c r="I28" s="97"/>
      <c r="J28" s="97"/>
      <c r="K28" s="110"/>
      <c r="L28" s="166"/>
      <c r="M28" s="101"/>
      <c r="N28" s="101"/>
      <c r="O28" s="101"/>
      <c r="P28" s="102"/>
      <c r="Q28" s="103"/>
      <c r="R28" s="104"/>
      <c r="S28" s="105"/>
      <c r="T28" s="105"/>
      <c r="U28" s="97"/>
      <c r="V28" s="97"/>
      <c r="W28" s="97"/>
      <c r="X28" s="97"/>
      <c r="Y28" s="97"/>
      <c r="Z28" s="97"/>
      <c r="AA28" s="97"/>
      <c r="AB28" s="97"/>
      <c r="AC28" s="97"/>
      <c r="AD28" s="97"/>
      <c r="AE28" s="97"/>
      <c r="AF28" s="97"/>
      <c r="AG28" s="97"/>
      <c r="AH28" s="97"/>
      <c r="AI28" s="97"/>
      <c r="AJ28" s="97"/>
      <c r="AK28" s="97"/>
      <c r="AL28" s="97"/>
      <c r="AM28" s="97"/>
      <c r="AN28" s="107"/>
      <c r="AO28" s="97"/>
      <c r="AP28" s="109"/>
      <c r="AQ28" s="104"/>
      <c r="AR28" s="99"/>
      <c r="AS28" s="99"/>
      <c r="AT28" s="99"/>
      <c r="AU28" s="96"/>
      <c r="AV28" s="110"/>
      <c r="AW28" s="59"/>
      <c r="AX28" s="105"/>
    </row>
    <row r="29" customFormat="false" ht="12.75" hidden="false" customHeight="true" outlineLevel="0" collapsed="false">
      <c r="A29" s="163" t="s">
        <v>231</v>
      </c>
      <c r="B29" s="96"/>
      <c r="C29" s="96"/>
      <c r="D29" s="96"/>
      <c r="E29" s="111"/>
      <c r="F29" s="169"/>
      <c r="G29" s="165"/>
      <c r="H29" s="104"/>
      <c r="I29" s="97"/>
      <c r="J29" s="97"/>
      <c r="K29" s="110"/>
      <c r="L29" s="166"/>
      <c r="M29" s="101"/>
      <c r="N29" s="101"/>
      <c r="O29" s="101"/>
      <c r="P29" s="102"/>
      <c r="Q29" s="103"/>
      <c r="R29" s="104"/>
      <c r="S29" s="105"/>
      <c r="T29" s="105"/>
      <c r="U29" s="97"/>
      <c r="V29" s="97"/>
      <c r="W29" s="97"/>
      <c r="X29" s="97"/>
      <c r="Y29" s="97"/>
      <c r="Z29" s="97"/>
      <c r="AA29" s="97"/>
      <c r="AB29" s="97"/>
      <c r="AC29" s="97"/>
      <c r="AD29" s="97"/>
      <c r="AE29" s="97"/>
      <c r="AF29" s="97"/>
      <c r="AG29" s="97"/>
      <c r="AH29" s="97"/>
      <c r="AI29" s="97"/>
      <c r="AJ29" s="97"/>
      <c r="AK29" s="97"/>
      <c r="AL29" s="97"/>
      <c r="AM29" s="97"/>
      <c r="AN29" s="107"/>
      <c r="AO29" s="97"/>
      <c r="AP29" s="109"/>
      <c r="AQ29" s="104"/>
      <c r="AR29" s="99"/>
      <c r="AS29" s="99"/>
      <c r="AT29" s="99"/>
      <c r="AU29" s="96"/>
      <c r="AV29" s="110"/>
      <c r="AW29" s="59"/>
      <c r="AX29" s="105"/>
    </row>
    <row r="30" customFormat="false" ht="12.75" hidden="false" customHeight="true" outlineLevel="0" collapsed="false">
      <c r="A30" s="163" t="s">
        <v>232</v>
      </c>
      <c r="B30" s="96"/>
      <c r="C30" s="96"/>
      <c r="D30" s="96"/>
      <c r="E30" s="111"/>
      <c r="F30" s="169"/>
      <c r="G30" s="165"/>
      <c r="H30" s="104"/>
      <c r="I30" s="97"/>
      <c r="J30" s="97"/>
      <c r="K30" s="110"/>
      <c r="L30" s="166"/>
      <c r="M30" s="101"/>
      <c r="N30" s="101"/>
      <c r="O30" s="101"/>
      <c r="P30" s="102"/>
      <c r="Q30" s="103"/>
      <c r="R30" s="104"/>
      <c r="S30" s="105"/>
      <c r="T30" s="105"/>
      <c r="U30" s="97"/>
      <c r="V30" s="97"/>
      <c r="W30" s="97"/>
      <c r="X30" s="97"/>
      <c r="Y30" s="97"/>
      <c r="Z30" s="97"/>
      <c r="AA30" s="97"/>
      <c r="AB30" s="97"/>
      <c r="AC30" s="97"/>
      <c r="AD30" s="97"/>
      <c r="AE30" s="97"/>
      <c r="AF30" s="97"/>
      <c r="AG30" s="97"/>
      <c r="AH30" s="97"/>
      <c r="AI30" s="97"/>
      <c r="AJ30" s="97"/>
      <c r="AK30" s="97"/>
      <c r="AL30" s="97"/>
      <c r="AM30" s="97"/>
      <c r="AN30" s="107"/>
      <c r="AO30" s="97"/>
      <c r="AP30" s="109"/>
      <c r="AQ30" s="104"/>
      <c r="AR30" s="99"/>
      <c r="AS30" s="99"/>
      <c r="AT30" s="99"/>
      <c r="AU30" s="96"/>
      <c r="AV30" s="110"/>
      <c r="AW30" s="59"/>
      <c r="AX30" s="105"/>
    </row>
    <row r="31" customFormat="false" ht="12.75" hidden="false" customHeight="true" outlineLevel="0" collapsed="false">
      <c r="A31" s="163" t="s">
        <v>233</v>
      </c>
      <c r="B31" s="96"/>
      <c r="C31" s="96"/>
      <c r="D31" s="96"/>
      <c r="E31" s="111"/>
      <c r="F31" s="169"/>
      <c r="G31" s="165"/>
      <c r="H31" s="104"/>
      <c r="I31" s="97"/>
      <c r="J31" s="97"/>
      <c r="K31" s="110"/>
      <c r="L31" s="166"/>
      <c r="M31" s="101"/>
      <c r="N31" s="101"/>
      <c r="O31" s="101"/>
      <c r="P31" s="102"/>
      <c r="Q31" s="103"/>
      <c r="R31" s="104"/>
      <c r="S31" s="105"/>
      <c r="T31" s="105"/>
      <c r="U31" s="97"/>
      <c r="V31" s="97"/>
      <c r="W31" s="97"/>
      <c r="X31" s="97"/>
      <c r="Y31" s="97"/>
      <c r="Z31" s="97"/>
      <c r="AA31" s="97"/>
      <c r="AB31" s="97"/>
      <c r="AC31" s="97"/>
      <c r="AD31" s="97"/>
      <c r="AE31" s="97"/>
      <c r="AF31" s="97"/>
      <c r="AG31" s="97"/>
      <c r="AH31" s="97"/>
      <c r="AI31" s="97"/>
      <c r="AJ31" s="97"/>
      <c r="AK31" s="97"/>
      <c r="AL31" s="97"/>
      <c r="AM31" s="97"/>
      <c r="AN31" s="107"/>
      <c r="AO31" s="97"/>
      <c r="AP31" s="109"/>
      <c r="AQ31" s="104"/>
      <c r="AR31" s="99"/>
      <c r="AS31" s="99"/>
      <c r="AT31" s="99"/>
      <c r="AU31" s="96"/>
      <c r="AV31" s="110"/>
      <c r="AW31" s="59"/>
      <c r="AX31" s="105"/>
    </row>
    <row r="32" customFormat="false" ht="12.75" hidden="false" customHeight="true" outlineLevel="0" collapsed="false">
      <c r="A32" s="163" t="s">
        <v>234</v>
      </c>
      <c r="B32" s="96"/>
      <c r="C32" s="96"/>
      <c r="D32" s="96"/>
      <c r="E32" s="111"/>
      <c r="F32" s="169"/>
      <c r="G32" s="165"/>
      <c r="H32" s="104"/>
      <c r="I32" s="97"/>
      <c r="J32" s="97"/>
      <c r="K32" s="110"/>
      <c r="L32" s="166"/>
      <c r="M32" s="101"/>
      <c r="N32" s="101"/>
      <c r="O32" s="101"/>
      <c r="P32" s="102"/>
      <c r="Q32" s="103"/>
      <c r="R32" s="104"/>
      <c r="S32" s="105"/>
      <c r="T32" s="105"/>
      <c r="U32" s="97"/>
      <c r="V32" s="97"/>
      <c r="W32" s="97"/>
      <c r="X32" s="97"/>
      <c r="Y32" s="97"/>
      <c r="Z32" s="97"/>
      <c r="AA32" s="97"/>
      <c r="AB32" s="97"/>
      <c r="AC32" s="97"/>
      <c r="AD32" s="97"/>
      <c r="AE32" s="97"/>
      <c r="AF32" s="97"/>
      <c r="AG32" s="97"/>
      <c r="AH32" s="97"/>
      <c r="AI32" s="97"/>
      <c r="AJ32" s="97"/>
      <c r="AK32" s="97"/>
      <c r="AL32" s="97"/>
      <c r="AM32" s="97"/>
      <c r="AN32" s="107"/>
      <c r="AO32" s="97"/>
      <c r="AP32" s="109"/>
      <c r="AQ32" s="104"/>
      <c r="AR32" s="99"/>
      <c r="AS32" s="99"/>
      <c r="AT32" s="99"/>
      <c r="AU32" s="96"/>
      <c r="AV32" s="110"/>
      <c r="AW32" s="59"/>
      <c r="AX32" s="105"/>
    </row>
    <row r="33" customFormat="false" ht="12.75" hidden="false" customHeight="true" outlineLevel="0" collapsed="false">
      <c r="A33" s="163" t="s">
        <v>235</v>
      </c>
      <c r="B33" s="96"/>
      <c r="C33" s="96"/>
      <c r="D33" s="96"/>
      <c r="E33" s="111"/>
      <c r="F33" s="169"/>
      <c r="G33" s="165"/>
      <c r="H33" s="104"/>
      <c r="I33" s="97"/>
      <c r="J33" s="97"/>
      <c r="K33" s="110"/>
      <c r="L33" s="166"/>
      <c r="M33" s="101"/>
      <c r="N33" s="101"/>
      <c r="O33" s="101"/>
      <c r="P33" s="102"/>
      <c r="Q33" s="103"/>
      <c r="R33" s="104"/>
      <c r="S33" s="105"/>
      <c r="T33" s="105"/>
      <c r="U33" s="97"/>
      <c r="V33" s="97"/>
      <c r="W33" s="97"/>
      <c r="X33" s="97"/>
      <c r="Y33" s="97"/>
      <c r="Z33" s="97"/>
      <c r="AA33" s="97"/>
      <c r="AB33" s="97"/>
      <c r="AC33" s="97"/>
      <c r="AD33" s="97"/>
      <c r="AE33" s="97"/>
      <c r="AF33" s="97"/>
      <c r="AG33" s="97"/>
      <c r="AH33" s="97"/>
      <c r="AI33" s="97"/>
      <c r="AJ33" s="97"/>
      <c r="AK33" s="97"/>
      <c r="AL33" s="97"/>
      <c r="AM33" s="97"/>
      <c r="AN33" s="107"/>
      <c r="AO33" s="97"/>
      <c r="AP33" s="109"/>
      <c r="AQ33" s="104"/>
      <c r="AR33" s="99"/>
      <c r="AS33" s="99"/>
      <c r="AT33" s="99"/>
      <c r="AU33" s="96"/>
      <c r="AV33" s="110"/>
      <c r="AW33" s="59"/>
      <c r="AX33" s="105"/>
    </row>
    <row r="34" customFormat="false" ht="12.75" hidden="false" customHeight="true" outlineLevel="0" collapsed="false">
      <c r="A34" s="163" t="s">
        <v>236</v>
      </c>
      <c r="B34" s="96"/>
      <c r="C34" s="96"/>
      <c r="D34" s="96"/>
      <c r="E34" s="111"/>
      <c r="F34" s="169"/>
      <c r="G34" s="165"/>
      <c r="H34" s="104"/>
      <c r="I34" s="97"/>
      <c r="J34" s="97"/>
      <c r="K34" s="110"/>
      <c r="L34" s="166"/>
      <c r="M34" s="101"/>
      <c r="N34" s="101"/>
      <c r="O34" s="101"/>
      <c r="P34" s="102"/>
      <c r="Q34" s="103"/>
      <c r="R34" s="104"/>
      <c r="S34" s="105"/>
      <c r="T34" s="105"/>
      <c r="U34" s="97"/>
      <c r="V34" s="97"/>
      <c r="W34" s="97"/>
      <c r="X34" s="97"/>
      <c r="Y34" s="97"/>
      <c r="Z34" s="97"/>
      <c r="AA34" s="97"/>
      <c r="AB34" s="97"/>
      <c r="AC34" s="97"/>
      <c r="AD34" s="97"/>
      <c r="AE34" s="97"/>
      <c r="AF34" s="97"/>
      <c r="AG34" s="97"/>
      <c r="AH34" s="97"/>
      <c r="AI34" s="97"/>
      <c r="AJ34" s="97"/>
      <c r="AK34" s="97"/>
      <c r="AL34" s="97"/>
      <c r="AM34" s="97"/>
      <c r="AN34" s="107"/>
      <c r="AO34" s="97"/>
      <c r="AP34" s="109"/>
      <c r="AQ34" s="104"/>
      <c r="AR34" s="99"/>
      <c r="AS34" s="99"/>
      <c r="AT34" s="99"/>
      <c r="AU34" s="96"/>
      <c r="AV34" s="110"/>
      <c r="AW34" s="59"/>
      <c r="AX34" s="105"/>
    </row>
    <row r="35" customFormat="false" ht="12.75" hidden="false" customHeight="true" outlineLevel="0" collapsed="false">
      <c r="A35" s="163" t="s">
        <v>237</v>
      </c>
      <c r="B35" s="96"/>
      <c r="C35" s="96"/>
      <c r="D35" s="96"/>
      <c r="E35" s="111"/>
      <c r="F35" s="169"/>
      <c r="G35" s="165"/>
      <c r="H35" s="104"/>
      <c r="I35" s="97"/>
      <c r="J35" s="97"/>
      <c r="K35" s="110"/>
      <c r="L35" s="166"/>
      <c r="M35" s="101"/>
      <c r="N35" s="101"/>
      <c r="O35" s="101"/>
      <c r="P35" s="102"/>
      <c r="Q35" s="103"/>
      <c r="R35" s="104"/>
      <c r="S35" s="105"/>
      <c r="T35" s="105"/>
      <c r="U35" s="97"/>
      <c r="V35" s="97"/>
      <c r="W35" s="97"/>
      <c r="X35" s="97"/>
      <c r="Y35" s="97"/>
      <c r="Z35" s="97"/>
      <c r="AA35" s="97"/>
      <c r="AB35" s="97"/>
      <c r="AC35" s="97"/>
      <c r="AD35" s="97"/>
      <c r="AE35" s="97"/>
      <c r="AF35" s="97"/>
      <c r="AG35" s="97"/>
      <c r="AH35" s="97"/>
      <c r="AI35" s="97"/>
      <c r="AJ35" s="97"/>
      <c r="AK35" s="97"/>
      <c r="AL35" s="97"/>
      <c r="AM35" s="97"/>
      <c r="AN35" s="107"/>
      <c r="AO35" s="97"/>
      <c r="AP35" s="109"/>
      <c r="AQ35" s="104"/>
      <c r="AR35" s="99"/>
      <c r="AS35" s="99"/>
      <c r="AT35" s="99"/>
      <c r="AU35" s="96"/>
      <c r="AV35" s="110"/>
      <c r="AW35" s="59"/>
      <c r="AX35" s="105"/>
    </row>
    <row r="36" customFormat="false" ht="12.75" hidden="false" customHeight="true" outlineLevel="0" collapsed="false">
      <c r="A36" s="163" t="s">
        <v>238</v>
      </c>
      <c r="B36" s="96"/>
      <c r="C36" s="96"/>
      <c r="D36" s="96"/>
      <c r="E36" s="111"/>
      <c r="F36" s="169"/>
      <c r="G36" s="165"/>
      <c r="H36" s="104"/>
      <c r="I36" s="97"/>
      <c r="J36" s="97"/>
      <c r="K36" s="110"/>
      <c r="L36" s="166"/>
      <c r="M36" s="101"/>
      <c r="N36" s="101"/>
      <c r="O36" s="101"/>
      <c r="P36" s="102"/>
      <c r="Q36" s="103"/>
      <c r="R36" s="104"/>
      <c r="S36" s="105"/>
      <c r="T36" s="105"/>
      <c r="U36" s="97"/>
      <c r="V36" s="97"/>
      <c r="W36" s="97"/>
      <c r="X36" s="97"/>
      <c r="Y36" s="97"/>
      <c r="Z36" s="97"/>
      <c r="AA36" s="97"/>
      <c r="AB36" s="97"/>
      <c r="AC36" s="97"/>
      <c r="AD36" s="97"/>
      <c r="AE36" s="97"/>
      <c r="AF36" s="97"/>
      <c r="AG36" s="97"/>
      <c r="AH36" s="97"/>
      <c r="AI36" s="97"/>
      <c r="AJ36" s="97"/>
      <c r="AK36" s="97"/>
      <c r="AL36" s="97"/>
      <c r="AM36" s="97"/>
      <c r="AN36" s="107"/>
      <c r="AO36" s="97"/>
      <c r="AP36" s="109"/>
      <c r="AQ36" s="104"/>
      <c r="AR36" s="99"/>
      <c r="AS36" s="99"/>
      <c r="AT36" s="99"/>
      <c r="AU36" s="96"/>
      <c r="AV36" s="110"/>
      <c r="AW36" s="59"/>
      <c r="AX36" s="105"/>
    </row>
    <row r="37" customFormat="false" ht="12.75" hidden="false" customHeight="true" outlineLevel="0" collapsed="false">
      <c r="A37" s="168" t="s">
        <v>239</v>
      </c>
      <c r="B37" s="69" t="s">
        <v>101</v>
      </c>
      <c r="C37" s="69"/>
      <c r="D37" s="69" t="s">
        <v>103</v>
      </c>
      <c r="E37" s="61"/>
      <c r="F37" s="145"/>
      <c r="G37" s="94" t="s">
        <v>104</v>
      </c>
      <c r="H37" s="1" t="n">
        <v>635906.966</v>
      </c>
      <c r="I37" s="1" t="n">
        <v>3047872.145</v>
      </c>
      <c r="J37" s="1" t="n">
        <v>214.681</v>
      </c>
      <c r="K37" s="79" t="s">
        <v>105</v>
      </c>
      <c r="L37" s="84" t="n">
        <v>0.11</v>
      </c>
      <c r="M37" s="1" t="n">
        <v>633905.233</v>
      </c>
      <c r="N37" s="1" t="n">
        <v>3049240.448</v>
      </c>
      <c r="O37" s="1" t="n">
        <v>56.39</v>
      </c>
      <c r="P37" s="89" t="s">
        <v>106</v>
      </c>
      <c r="Q37" s="72" t="n">
        <v>1.17</v>
      </c>
      <c r="R37" s="73" t="n">
        <v>1.17</v>
      </c>
      <c r="S37" s="90" t="n">
        <v>90</v>
      </c>
      <c r="T37" s="80"/>
      <c r="U37" s="74" t="n">
        <v>0.35</v>
      </c>
      <c r="V37" s="74" t="n">
        <v>0.45</v>
      </c>
      <c r="W37" s="74" t="n">
        <v>0.49</v>
      </c>
      <c r="X37" s="74" t="n">
        <v>0.34</v>
      </c>
      <c r="Y37" s="93" t="n">
        <v>0.31</v>
      </c>
      <c r="Z37" s="74" t="n">
        <v>0.32</v>
      </c>
      <c r="AA37" s="74" t="n">
        <v>0.3</v>
      </c>
      <c r="AB37" s="74" t="n">
        <v>0.33</v>
      </c>
      <c r="AC37" s="74"/>
      <c r="AD37" s="74"/>
      <c r="AE37" s="74"/>
      <c r="AF37" s="74"/>
      <c r="AG37" s="74"/>
      <c r="AH37" s="74"/>
      <c r="AI37" s="74"/>
      <c r="AJ37" s="74"/>
      <c r="AK37" s="74"/>
      <c r="AL37" s="74"/>
      <c r="AM37" s="74" t="n">
        <f aca="false">AVERAGE(U37:AC37)</f>
        <v>0.36125</v>
      </c>
      <c r="AN37" s="92" t="n">
        <v>3.67</v>
      </c>
      <c r="AO37" s="93"/>
      <c r="AP37" s="75"/>
      <c r="AQ37" s="73" t="n">
        <f aca="false">AN37-(AN37-Q37)*(SIN((S37+AX37)*PI()/180))/(COS(AX37*PI()/180))</f>
        <v>1.17</v>
      </c>
      <c r="AR37" s="84" t="n">
        <f aca="false">H37+($M$1-M37)-(AN37-Q37)*(COS(S37*PI()/180))*(SIN((T37+13+2.3)*PI()/180))</f>
        <v>635906.966</v>
      </c>
      <c r="AS37" s="84" t="n">
        <f aca="false">I37+($N$1-N37)-(AN37-Q37)*(COS(S37*PI()/180))*(COS((T37+13+2.3)*PI()/180))</f>
        <v>3047872.145</v>
      </c>
      <c r="AT37" s="84" t="n">
        <f aca="false">J37+($O$1-O37)-R37+AN37-(AN37-Q37)*(SIN(S37*PI()/180))-L37</f>
        <v>214.461</v>
      </c>
      <c r="AU37" s="69"/>
      <c r="AV37" s="79"/>
      <c r="AW37" s="59"/>
      <c r="AX37" s="80"/>
    </row>
    <row r="38" customFormat="false" ht="12.75" hidden="false" customHeight="true" outlineLevel="0" collapsed="false">
      <c r="A38" s="168" t="s">
        <v>240</v>
      </c>
      <c r="B38" s="69" t="s">
        <v>113</v>
      </c>
      <c r="C38" s="69" t="s">
        <v>241</v>
      </c>
      <c r="D38" s="69" t="s">
        <v>103</v>
      </c>
      <c r="E38" s="61"/>
      <c r="F38" s="145"/>
      <c r="G38" s="94" t="s">
        <v>114</v>
      </c>
      <c r="H38" s="1" t="n">
        <v>635707.779</v>
      </c>
      <c r="I38" s="1" t="n">
        <v>3048173.762</v>
      </c>
      <c r="J38" s="1" t="n">
        <v>193.454</v>
      </c>
      <c r="K38" s="79" t="s">
        <v>105</v>
      </c>
      <c r="L38" s="84" t="n">
        <v>0.11</v>
      </c>
      <c r="M38" s="1" t="n">
        <v>633905.233</v>
      </c>
      <c r="N38" s="1" t="n">
        <v>3049240.448</v>
      </c>
      <c r="O38" s="1" t="n">
        <v>56.39</v>
      </c>
      <c r="P38" s="89" t="s">
        <v>106</v>
      </c>
      <c r="Q38" s="72" t="n">
        <v>1.42</v>
      </c>
      <c r="R38" s="73" t="n">
        <v>1.42</v>
      </c>
      <c r="S38" s="90" t="n">
        <v>90</v>
      </c>
      <c r="T38" s="80"/>
      <c r="U38" s="74" t="n">
        <v>0.27</v>
      </c>
      <c r="V38" s="74" t="n">
        <v>0.31</v>
      </c>
      <c r="W38" s="74" t="n">
        <v>0.3</v>
      </c>
      <c r="X38" s="74" t="n">
        <v>0.46</v>
      </c>
      <c r="Y38" s="74" t="n">
        <v>0.29</v>
      </c>
      <c r="Z38" s="74" t="n">
        <v>0.28</v>
      </c>
      <c r="AA38" s="74"/>
      <c r="AB38" s="74"/>
      <c r="AC38" s="74"/>
      <c r="AD38" s="74"/>
      <c r="AE38" s="74"/>
      <c r="AF38" s="74"/>
      <c r="AG38" s="74"/>
      <c r="AH38" s="74"/>
      <c r="AI38" s="74"/>
      <c r="AJ38" s="74"/>
      <c r="AK38" s="74"/>
      <c r="AL38" s="74"/>
      <c r="AM38" s="74" t="n">
        <f aca="false">AVERAGE(U38:AC38)</f>
        <v>0.318333333333333</v>
      </c>
      <c r="AN38" s="92" t="n">
        <v>3.67</v>
      </c>
      <c r="AO38" s="93"/>
      <c r="AP38" s="75"/>
      <c r="AQ38" s="73" t="n">
        <f aca="false">AN38-(AN38-Q38)*(SIN((S38+AX38)*PI()/180))/(COS(AX38*PI()/180))</f>
        <v>1.42</v>
      </c>
      <c r="AR38" s="84" t="n">
        <f aca="false">H38+($M$1-M38)-(AN38-Q38)*(COS(S38*PI()/180))*(SIN((T38+13+2.3)*PI()/180))</f>
        <v>635707.779</v>
      </c>
      <c r="AS38" s="84" t="n">
        <f aca="false">I38+($N$1-N38)-(AN38-Q38)*(COS(S38*PI()/180))*(COS((T38+13+2.3)*PI()/180))</f>
        <v>3048173.762</v>
      </c>
      <c r="AT38" s="84" t="n">
        <f aca="false">J38+($O$1-O38)-R38+AN38-(AN38-Q38)*(SIN(S38*PI()/180))-L38</f>
        <v>193.234</v>
      </c>
      <c r="AU38" s="69"/>
      <c r="AV38" s="79"/>
      <c r="AW38" s="59"/>
      <c r="AX38" s="80"/>
    </row>
    <row r="39" customFormat="false" ht="12.75" hidden="false" customHeight="true" outlineLevel="0" collapsed="false">
      <c r="A39" s="168" t="s">
        <v>242</v>
      </c>
      <c r="B39" s="69" t="s">
        <v>211</v>
      </c>
      <c r="C39" s="69"/>
      <c r="D39" s="69" t="s">
        <v>103</v>
      </c>
      <c r="E39" s="61"/>
      <c r="F39" s="145"/>
      <c r="G39" s="94" t="s">
        <v>213</v>
      </c>
      <c r="H39" s="1" t="n">
        <v>635594.236</v>
      </c>
      <c r="I39" s="1" t="n">
        <v>3048442.109</v>
      </c>
      <c r="J39" s="1" t="n">
        <v>172.448</v>
      </c>
      <c r="K39" s="79" t="s">
        <v>105</v>
      </c>
      <c r="L39" s="84" t="n">
        <v>0.11</v>
      </c>
      <c r="M39" s="1" t="n">
        <v>633905.233</v>
      </c>
      <c r="N39" s="1" t="n">
        <v>3049240.448</v>
      </c>
      <c r="O39" s="1" t="n">
        <v>56.39</v>
      </c>
      <c r="P39" s="171" t="s">
        <v>243</v>
      </c>
      <c r="Q39" s="72" t="n">
        <v>1.63</v>
      </c>
      <c r="R39" s="73" t="n">
        <v>1.63</v>
      </c>
      <c r="S39" s="90" t="n">
        <v>90</v>
      </c>
      <c r="T39" s="74"/>
      <c r="U39" s="74" t="n">
        <v>0.61</v>
      </c>
      <c r="V39" s="74" t="n">
        <v>0.29</v>
      </c>
      <c r="W39" s="74" t="n">
        <v>0.25</v>
      </c>
      <c r="X39" s="74" t="n">
        <v>0.62</v>
      </c>
      <c r="Y39" s="74" t="n">
        <v>0.23</v>
      </c>
      <c r="Z39" s="74" t="n">
        <v>0.58</v>
      </c>
      <c r="AA39" s="74" t="n">
        <v>0.24</v>
      </c>
      <c r="AB39" s="74" t="n">
        <v>0.52</v>
      </c>
      <c r="AC39" s="74" t="n">
        <v>0.24</v>
      </c>
      <c r="AD39" s="74" t="n">
        <v>0.49</v>
      </c>
      <c r="AE39" s="74"/>
      <c r="AF39" s="74"/>
      <c r="AG39" s="74"/>
      <c r="AH39" s="74"/>
      <c r="AI39" s="74"/>
      <c r="AJ39" s="74"/>
      <c r="AK39" s="74"/>
      <c r="AL39" s="74"/>
      <c r="AM39" s="74" t="n">
        <f aca="false">AVERAGE(U39:AC39)</f>
        <v>0.397777777777778</v>
      </c>
      <c r="AN39" s="92" t="n">
        <v>3.67</v>
      </c>
      <c r="AO39" s="173"/>
      <c r="AP39" s="75"/>
      <c r="AQ39" s="73" t="n">
        <f aca="false">AN39-(AN39-Q39)*(SIN((S39+AX39)*PI()/180))/(COS(AX39*PI()/180))</f>
        <v>1.63</v>
      </c>
      <c r="AR39" s="84" t="n">
        <f aca="false">H39+($M$1-M39)-(AN39-Q39)*(COS(S39*PI()/180))*(SIN((T39+13+2.3)*PI()/180))</f>
        <v>635594.236</v>
      </c>
      <c r="AS39" s="84" t="n">
        <f aca="false">I39+($N$1-N39)-(AN39-Q39)*(COS(S39*PI()/180))*(COS((T39+13+2.3)*PI()/180))</f>
        <v>3048442.109</v>
      </c>
      <c r="AT39" s="84" t="n">
        <f aca="false">J39+($O$1-O39)-R39+AN39-(AN39-Q39)*(SIN(S39*PI()/180))-L39</f>
        <v>172.228</v>
      </c>
      <c r="AU39" s="69"/>
      <c r="AV39" s="79"/>
      <c r="AW39" s="59"/>
      <c r="AX39" s="80"/>
    </row>
    <row r="40" customFormat="false" ht="12.75" hidden="false" customHeight="true" outlineLevel="0" collapsed="false">
      <c r="A40" s="168" t="s">
        <v>244</v>
      </c>
      <c r="B40" s="69" t="s">
        <v>101</v>
      </c>
      <c r="C40" s="69"/>
      <c r="D40" s="69" t="s">
        <v>103</v>
      </c>
      <c r="E40" s="61"/>
      <c r="F40" s="145"/>
      <c r="G40" s="94" t="s">
        <v>104</v>
      </c>
      <c r="H40" s="1" t="n">
        <v>635520.298</v>
      </c>
      <c r="I40" s="1" t="n">
        <v>3047634.673</v>
      </c>
      <c r="J40" s="1" t="n">
        <v>230.969</v>
      </c>
      <c r="K40" s="79" t="s">
        <v>105</v>
      </c>
      <c r="L40" s="84" t="n">
        <v>0</v>
      </c>
      <c r="M40" s="1" t="n">
        <v>633905.233</v>
      </c>
      <c r="N40" s="1" t="n">
        <v>3049240.448</v>
      </c>
      <c r="O40" s="1" t="n">
        <v>56.39</v>
      </c>
      <c r="P40" s="89" t="s">
        <v>245</v>
      </c>
      <c r="Q40" s="72" t="n">
        <v>1.63</v>
      </c>
      <c r="R40" s="73" t="n">
        <v>1.63</v>
      </c>
      <c r="S40" s="90" t="n">
        <v>90</v>
      </c>
      <c r="T40" s="80"/>
      <c r="U40" s="74" t="n">
        <v>0.7</v>
      </c>
      <c r="V40" s="74" t="n">
        <v>0.73</v>
      </c>
      <c r="W40" s="74" t="n">
        <v>0.71</v>
      </c>
      <c r="X40" s="74" t="n">
        <v>0.67</v>
      </c>
      <c r="Y40" s="74" t="n">
        <v>0.72</v>
      </c>
      <c r="Z40" s="74" t="n">
        <v>0.85</v>
      </c>
      <c r="AA40" s="74" t="n">
        <v>0.85</v>
      </c>
      <c r="AB40" s="74" t="n">
        <v>0.7</v>
      </c>
      <c r="AC40" s="74"/>
      <c r="AD40" s="74"/>
      <c r="AE40" s="74"/>
      <c r="AF40" s="74"/>
      <c r="AG40" s="74"/>
      <c r="AH40" s="74"/>
      <c r="AI40" s="74"/>
      <c r="AJ40" s="74"/>
      <c r="AK40" s="74"/>
      <c r="AL40" s="74"/>
      <c r="AM40" s="74" t="n">
        <f aca="false">AVERAGE(U40:AC40)</f>
        <v>0.74125</v>
      </c>
      <c r="AN40" s="92" t="n">
        <v>3.67</v>
      </c>
      <c r="AO40" s="89" t="s">
        <v>245</v>
      </c>
      <c r="AP40" s="75"/>
      <c r="AQ40" s="73" t="n">
        <f aca="false">AN40-(AN40-Q40)*(SIN((S40+AX40)*PI()/180))/(COS(AX40*PI()/180))</f>
        <v>1.63</v>
      </c>
      <c r="AR40" s="84" t="n">
        <f aca="false">H40+($M$1-M40)-(AN40-Q40)*(COS(S40*PI()/180))*(SIN((T40+13+2.3)*PI()/180))</f>
        <v>635520.298</v>
      </c>
      <c r="AS40" s="84" t="n">
        <f aca="false">I40+($N$1-N40)-(AN40-Q40)*(COS(S40*PI()/180))*(COS((T40+13+2.3)*PI()/180))</f>
        <v>3047634.673</v>
      </c>
      <c r="AT40" s="84" t="n">
        <f aca="false">J40+($O$1-O40)-R40+AN40-(AN40-Q40)*(SIN(S40*PI()/180))-L40</f>
        <v>230.859</v>
      </c>
      <c r="AU40" s="69"/>
      <c r="AV40" s="79"/>
      <c r="AW40" s="59"/>
      <c r="AX40" s="80"/>
    </row>
    <row r="41" customFormat="false" ht="12.75" hidden="false" customHeight="true" outlineLevel="0" collapsed="false">
      <c r="A41" s="163" t="s">
        <v>246</v>
      </c>
      <c r="B41" s="96"/>
      <c r="C41" s="96"/>
      <c r="D41" s="96"/>
      <c r="E41" s="111"/>
      <c r="F41" s="169"/>
      <c r="G41" s="165"/>
      <c r="H41" s="104"/>
      <c r="I41" s="97"/>
      <c r="J41" s="97"/>
      <c r="K41" s="110"/>
      <c r="L41" s="99"/>
      <c r="M41" s="101"/>
      <c r="N41" s="101"/>
      <c r="O41" s="101"/>
      <c r="P41" s="102"/>
      <c r="Q41" s="103"/>
      <c r="R41" s="104"/>
      <c r="S41" s="105"/>
      <c r="T41" s="105"/>
      <c r="U41" s="97"/>
      <c r="V41" s="97"/>
      <c r="W41" s="97"/>
      <c r="X41" s="97"/>
      <c r="Y41" s="97"/>
      <c r="Z41" s="97"/>
      <c r="AA41" s="97"/>
      <c r="AB41" s="97"/>
      <c r="AC41" s="97"/>
      <c r="AD41" s="97"/>
      <c r="AE41" s="97"/>
      <c r="AF41" s="97"/>
      <c r="AG41" s="97"/>
      <c r="AH41" s="97"/>
      <c r="AI41" s="97"/>
      <c r="AJ41" s="97"/>
      <c r="AK41" s="97"/>
      <c r="AL41" s="97"/>
      <c r="AM41" s="97"/>
      <c r="AN41" s="107"/>
      <c r="AO41" s="97"/>
      <c r="AP41" s="109"/>
      <c r="AQ41" s="104"/>
      <c r="AR41" s="99"/>
      <c r="AS41" s="99"/>
      <c r="AT41" s="99"/>
      <c r="AU41" s="96"/>
      <c r="AV41" s="110"/>
      <c r="AW41" s="59"/>
      <c r="AX41" s="105"/>
    </row>
    <row r="42" customFormat="false" ht="12.75" hidden="false" customHeight="true" outlineLevel="0" collapsed="false">
      <c r="A42" s="168" t="s">
        <v>247</v>
      </c>
      <c r="B42" s="69" t="s">
        <v>113</v>
      </c>
      <c r="C42" s="69"/>
      <c r="D42" s="69" t="s">
        <v>103</v>
      </c>
      <c r="E42" s="61"/>
      <c r="F42" s="145"/>
      <c r="G42" s="94" t="s">
        <v>114</v>
      </c>
      <c r="H42" s="1" t="n">
        <v>636187.814</v>
      </c>
      <c r="I42" s="1" t="n">
        <v>3049079.901</v>
      </c>
      <c r="J42" s="1" t="n">
        <v>213.636</v>
      </c>
      <c r="K42" s="79" t="s">
        <v>105</v>
      </c>
      <c r="L42" s="84" t="n">
        <v>0.11</v>
      </c>
      <c r="M42" s="1" t="n">
        <v>633905.233</v>
      </c>
      <c r="N42" s="1" t="n">
        <v>3049240.448</v>
      </c>
      <c r="O42" s="1" t="n">
        <v>56.39</v>
      </c>
      <c r="P42" s="95" t="s">
        <v>106</v>
      </c>
      <c r="Q42" s="72" t="n">
        <v>0.66</v>
      </c>
      <c r="R42" s="73" t="n">
        <v>0.66</v>
      </c>
      <c r="S42" s="90" t="n">
        <v>90</v>
      </c>
      <c r="T42" s="80"/>
      <c r="U42" s="74" t="n">
        <v>0.43</v>
      </c>
      <c r="V42" s="74" t="n">
        <v>0.48</v>
      </c>
      <c r="W42" s="74" t="n">
        <v>0.5</v>
      </c>
      <c r="X42" s="74" t="n">
        <v>0.46</v>
      </c>
      <c r="Y42" s="74" t="n">
        <v>0.54</v>
      </c>
      <c r="Z42" s="74" t="n">
        <v>0.49</v>
      </c>
      <c r="AA42" s="74" t="n">
        <v>0.51</v>
      </c>
      <c r="AB42" s="74" t="n">
        <v>0.51</v>
      </c>
      <c r="AC42" s="74"/>
      <c r="AD42" s="74"/>
      <c r="AE42" s="74"/>
      <c r="AF42" s="74"/>
      <c r="AG42" s="74"/>
      <c r="AH42" s="74"/>
      <c r="AI42" s="74"/>
      <c r="AJ42" s="74"/>
      <c r="AK42" s="74"/>
      <c r="AL42" s="74"/>
      <c r="AM42" s="74" t="n">
        <f aca="false">AVERAGE(U42:AC42)</f>
        <v>0.49</v>
      </c>
      <c r="AN42" s="92" t="n">
        <v>3.67</v>
      </c>
      <c r="AO42" s="93"/>
      <c r="AP42" s="75"/>
      <c r="AQ42" s="73" t="n">
        <f aca="false">AN42-(AN42-Q42)*(SIN((S42+AX42)*PI()/180))/(COS(AX42*PI()/180))</f>
        <v>0.66</v>
      </c>
      <c r="AR42" s="84" t="n">
        <f aca="false">H42+($M$1-M42)-(AN42-Q42)*(COS(S42*PI()/180))*(SIN((T42+13+2.3)*PI()/180))</f>
        <v>636187.814</v>
      </c>
      <c r="AS42" s="84" t="n">
        <f aca="false">I42+($N$1-N42)-(AN42-Q42)*(COS(S42*PI()/180))*(COS((T42+13+2.3)*PI()/180))</f>
        <v>3049079.901</v>
      </c>
      <c r="AT42" s="84" t="n">
        <f aca="false">J42+($O$1-O42)-R42+AN42-(AN42-Q42)*(SIN(S42*PI()/180))-L42</f>
        <v>213.416</v>
      </c>
      <c r="AU42" s="69"/>
      <c r="AV42" s="79"/>
      <c r="AW42" s="59"/>
      <c r="AX42" s="80"/>
    </row>
    <row r="43" customFormat="false" ht="12.75" hidden="false" customHeight="true" outlineLevel="0" collapsed="false">
      <c r="A43" s="168" t="s">
        <v>248</v>
      </c>
      <c r="B43" s="69" t="s">
        <v>211</v>
      </c>
      <c r="C43" s="69"/>
      <c r="D43" s="69" t="s">
        <v>103</v>
      </c>
      <c r="E43" s="61"/>
      <c r="F43" s="145"/>
      <c r="G43" s="94" t="s">
        <v>213</v>
      </c>
      <c r="H43" s="174" t="n">
        <v>635797.837</v>
      </c>
      <c r="I43" s="174" t="n">
        <v>3049048.185</v>
      </c>
      <c r="J43" s="174" t="n">
        <v>168.704</v>
      </c>
      <c r="K43" s="79" t="s">
        <v>105</v>
      </c>
      <c r="L43" s="84" t="n">
        <v>0.11</v>
      </c>
      <c r="M43" s="1" t="n">
        <v>633905.233</v>
      </c>
      <c r="N43" s="1" t="n">
        <v>3049240.448</v>
      </c>
      <c r="O43" s="1" t="n">
        <v>56.39</v>
      </c>
      <c r="P43" s="171" t="s">
        <v>249</v>
      </c>
      <c r="Q43" s="72" t="n">
        <v>2.01</v>
      </c>
      <c r="R43" s="73" t="n">
        <v>2.01</v>
      </c>
      <c r="S43" s="90" t="n">
        <v>90</v>
      </c>
      <c r="T43" s="80"/>
      <c r="U43" s="74" t="n">
        <v>0.23</v>
      </c>
      <c r="V43" s="74" t="n">
        <v>0.2</v>
      </c>
      <c r="W43" s="74" t="n">
        <v>0.2</v>
      </c>
      <c r="X43" s="74" t="n">
        <v>0.19</v>
      </c>
      <c r="Y43" s="74" t="n">
        <v>0.19</v>
      </c>
      <c r="Z43" s="74" t="n">
        <v>0.2</v>
      </c>
      <c r="AA43" s="74" t="n">
        <v>0.2</v>
      </c>
      <c r="AB43" s="74" t="n">
        <v>0.21</v>
      </c>
      <c r="AC43" s="74"/>
      <c r="AD43" s="74"/>
      <c r="AE43" s="74"/>
      <c r="AF43" s="74"/>
      <c r="AG43" s="74"/>
      <c r="AH43" s="74"/>
      <c r="AI43" s="74"/>
      <c r="AJ43" s="74"/>
      <c r="AK43" s="74"/>
      <c r="AL43" s="74"/>
      <c r="AM43" s="74" t="n">
        <f aca="false">AVERAGE(U43:AC43)</f>
        <v>0.2025</v>
      </c>
      <c r="AN43" s="92" t="n">
        <v>3.67</v>
      </c>
      <c r="AO43" s="93"/>
      <c r="AP43" s="75"/>
      <c r="AQ43" s="73" t="n">
        <f aca="false">AN43-(AN43-Q43)*(SIN((S43+AX43)*PI()/180))/(COS(AX43*PI()/180))</f>
        <v>2.01</v>
      </c>
      <c r="AR43" s="84" t="n">
        <f aca="false">H43+($M$1-M43)-(AN43-Q43)*(COS(S43*PI()/180))*(SIN((T43+13+2.3)*PI()/180))</f>
        <v>635797.837</v>
      </c>
      <c r="AS43" s="84" t="n">
        <f aca="false">I43+($N$1-N43)-(AN43-Q43)*(COS(S43*PI()/180))*(COS((T43+13+2.3)*PI()/180))</f>
        <v>3049048.185</v>
      </c>
      <c r="AT43" s="84" t="n">
        <f aca="false">J43+($O$1-O43)-R43+AN43-(AN43-Q43)*(SIN(S43*PI()/180))-L43</f>
        <v>168.484</v>
      </c>
      <c r="AU43" s="69"/>
      <c r="AV43" s="79"/>
      <c r="AW43" s="59"/>
      <c r="AX43" s="80"/>
    </row>
    <row r="44" customFormat="false" ht="12.75" hidden="false" customHeight="true" outlineLevel="0" collapsed="false">
      <c r="A44" s="163" t="s">
        <v>250</v>
      </c>
      <c r="B44" s="96"/>
      <c r="C44" s="96"/>
      <c r="D44" s="96"/>
      <c r="E44" s="111"/>
      <c r="F44" s="169"/>
      <c r="G44" s="165"/>
      <c r="H44" s="104"/>
      <c r="I44" s="97"/>
      <c r="J44" s="97"/>
      <c r="K44" s="110"/>
      <c r="L44" s="166"/>
      <c r="M44" s="101"/>
      <c r="N44" s="101"/>
      <c r="O44" s="101"/>
      <c r="P44" s="102"/>
      <c r="Q44" s="103"/>
      <c r="R44" s="104"/>
      <c r="S44" s="105"/>
      <c r="T44" s="105"/>
      <c r="U44" s="97"/>
      <c r="V44" s="97"/>
      <c r="W44" s="97"/>
      <c r="X44" s="97"/>
      <c r="Y44" s="97"/>
      <c r="Z44" s="97"/>
      <c r="AA44" s="97"/>
      <c r="AB44" s="97"/>
      <c r="AC44" s="97"/>
      <c r="AD44" s="97"/>
      <c r="AE44" s="97"/>
      <c r="AF44" s="97"/>
      <c r="AG44" s="97"/>
      <c r="AH44" s="97"/>
      <c r="AI44" s="97"/>
      <c r="AJ44" s="97"/>
      <c r="AK44" s="97"/>
      <c r="AL44" s="97"/>
      <c r="AM44" s="97"/>
      <c r="AN44" s="107"/>
      <c r="AO44" s="97"/>
      <c r="AP44" s="109"/>
      <c r="AQ44" s="104"/>
      <c r="AR44" s="99"/>
      <c r="AS44" s="99"/>
      <c r="AT44" s="99"/>
      <c r="AU44" s="96"/>
      <c r="AV44" s="110"/>
      <c r="AW44" s="59"/>
      <c r="AX44" s="105"/>
    </row>
    <row r="45" customFormat="false" ht="12.75" hidden="false" customHeight="true" outlineLevel="0" collapsed="false">
      <c r="A45" s="163" t="s">
        <v>251</v>
      </c>
      <c r="B45" s="96"/>
      <c r="C45" s="96"/>
      <c r="D45" s="96"/>
      <c r="E45" s="111"/>
      <c r="F45" s="169"/>
      <c r="G45" s="165"/>
      <c r="H45" s="104"/>
      <c r="I45" s="97"/>
      <c r="J45" s="97"/>
      <c r="K45" s="110"/>
      <c r="L45" s="166"/>
      <c r="M45" s="101"/>
      <c r="N45" s="101"/>
      <c r="O45" s="101"/>
      <c r="P45" s="102"/>
      <c r="Q45" s="103"/>
      <c r="R45" s="104"/>
      <c r="S45" s="105"/>
      <c r="T45" s="105"/>
      <c r="U45" s="97"/>
      <c r="V45" s="97"/>
      <c r="W45" s="97"/>
      <c r="X45" s="97"/>
      <c r="Y45" s="97"/>
      <c r="Z45" s="97"/>
      <c r="AA45" s="97"/>
      <c r="AB45" s="97"/>
      <c r="AC45" s="97"/>
      <c r="AD45" s="97"/>
      <c r="AE45" s="97"/>
      <c r="AF45" s="97"/>
      <c r="AG45" s="97"/>
      <c r="AH45" s="97"/>
      <c r="AI45" s="97"/>
      <c r="AJ45" s="97"/>
      <c r="AK45" s="97"/>
      <c r="AL45" s="97"/>
      <c r="AM45" s="97"/>
      <c r="AN45" s="107"/>
      <c r="AO45" s="97"/>
      <c r="AP45" s="109"/>
      <c r="AQ45" s="104"/>
      <c r="AR45" s="99"/>
      <c r="AS45" s="99"/>
      <c r="AT45" s="99"/>
      <c r="AU45" s="96"/>
      <c r="AV45" s="110"/>
      <c r="AW45" s="59"/>
      <c r="AX45" s="105"/>
    </row>
    <row r="46" customFormat="false" ht="12.75" hidden="false" customHeight="true" outlineLevel="0" collapsed="false">
      <c r="A46" s="168" t="s">
        <v>252</v>
      </c>
      <c r="B46" s="69" t="s">
        <v>113</v>
      </c>
      <c r="C46" s="69"/>
      <c r="D46" s="69" t="s">
        <v>103</v>
      </c>
      <c r="E46" s="61"/>
      <c r="F46" s="145"/>
      <c r="G46" s="94" t="s">
        <v>114</v>
      </c>
      <c r="H46" s="1" t="n">
        <v>636668.346</v>
      </c>
      <c r="I46" s="1" t="n">
        <v>3049162.397</v>
      </c>
      <c r="J46" s="1" t="n">
        <v>251.606</v>
      </c>
      <c r="K46" s="79" t="s">
        <v>105</v>
      </c>
      <c r="L46" s="84" t="n">
        <v>0.11</v>
      </c>
      <c r="M46" s="1" t="n">
        <v>633905.233</v>
      </c>
      <c r="N46" s="1" t="n">
        <v>3049240.448</v>
      </c>
      <c r="O46" s="1" t="n">
        <v>56.39</v>
      </c>
      <c r="P46" s="95" t="s">
        <v>106</v>
      </c>
      <c r="Q46" s="72" t="n">
        <v>1.03</v>
      </c>
      <c r="R46" s="73" t="n">
        <v>1.03</v>
      </c>
      <c r="S46" s="90" t="n">
        <v>90</v>
      </c>
      <c r="T46" s="80"/>
      <c r="U46" s="74" t="n">
        <v>1</v>
      </c>
      <c r="V46" s="74" t="n">
        <v>0.82</v>
      </c>
      <c r="W46" s="74" t="n">
        <v>0.81</v>
      </c>
      <c r="X46" s="74" t="n">
        <v>0.87</v>
      </c>
      <c r="Y46" s="74" t="n">
        <v>0.85</v>
      </c>
      <c r="Z46" s="74" t="n">
        <v>0.89</v>
      </c>
      <c r="AA46" s="74" t="n">
        <v>1.02</v>
      </c>
      <c r="AB46" s="74" t="n">
        <v>0.9</v>
      </c>
      <c r="AC46" s="74"/>
      <c r="AD46" s="74"/>
      <c r="AE46" s="74"/>
      <c r="AF46" s="74"/>
      <c r="AG46" s="74"/>
      <c r="AH46" s="74"/>
      <c r="AI46" s="74"/>
      <c r="AJ46" s="74"/>
      <c r="AK46" s="74"/>
      <c r="AL46" s="74"/>
      <c r="AM46" s="74" t="n">
        <f aca="false">AVERAGE(U46:AC46)</f>
        <v>0.895</v>
      </c>
      <c r="AN46" s="92" t="n">
        <v>3.67</v>
      </c>
      <c r="AO46" s="93"/>
      <c r="AP46" s="75"/>
      <c r="AQ46" s="73" t="n">
        <f aca="false">AN46-(AN46-Q46)*(SIN((S46+AX46)*PI()/180))/(COS(AX46*PI()/180))</f>
        <v>1.03</v>
      </c>
      <c r="AR46" s="84" t="n">
        <f aca="false">H46+($M$1-M46)-(AN46-Q46)*(COS(S46*PI()/180))*(SIN((T46+13+2.3)*PI()/180))</f>
        <v>636668.346</v>
      </c>
      <c r="AS46" s="84" t="n">
        <f aca="false">I46+($N$1-N46)-(AN46-Q46)*(COS(S46*PI()/180))*(COS((T46+13+2.3)*PI()/180))</f>
        <v>3049162.397</v>
      </c>
      <c r="AT46" s="84" t="n">
        <f aca="false">J46+($O$1-O46)-R46+AN46-(AN46-Q46)*(SIN(S46*PI()/180))-L46</f>
        <v>251.386</v>
      </c>
      <c r="AU46" s="69"/>
      <c r="AV46" s="79"/>
      <c r="AW46" s="59"/>
      <c r="AX46" s="80"/>
    </row>
    <row r="47" s="1" customFormat="true" ht="12.75" hidden="false" customHeight="true" outlineLevel="0" collapsed="false">
      <c r="A47" s="175" t="s">
        <v>253</v>
      </c>
      <c r="B47" s="176" t="s">
        <v>254</v>
      </c>
      <c r="C47" s="176"/>
      <c r="D47" s="176" t="s">
        <v>103</v>
      </c>
      <c r="E47" s="177"/>
      <c r="F47" s="178"/>
      <c r="G47" s="179" t="s">
        <v>255</v>
      </c>
      <c r="H47" s="1" t="n">
        <v>635225.48</v>
      </c>
      <c r="I47" s="1" t="n">
        <v>3047100.432</v>
      </c>
      <c r="J47" s="1" t="n">
        <v>301.65</v>
      </c>
      <c r="K47" s="180" t="s">
        <v>105</v>
      </c>
      <c r="L47" s="181" t="n">
        <v>0.11</v>
      </c>
      <c r="M47" s="1" t="n">
        <v>633905.233</v>
      </c>
      <c r="N47" s="1" t="n">
        <v>3049240.448</v>
      </c>
      <c r="O47" s="1" t="n">
        <v>56.39</v>
      </c>
      <c r="P47" s="182" t="s">
        <v>106</v>
      </c>
      <c r="Q47" s="183" t="n">
        <v>0.83</v>
      </c>
      <c r="R47" s="184" t="n">
        <v>0.83</v>
      </c>
      <c r="S47" s="185" t="n">
        <v>90</v>
      </c>
      <c r="T47" s="185"/>
      <c r="U47" s="186" t="n">
        <v>1.08</v>
      </c>
      <c r="V47" s="186" t="n">
        <v>1.19</v>
      </c>
      <c r="W47" s="186" t="n">
        <v>1.33</v>
      </c>
      <c r="X47" s="186" t="n">
        <v>0.97</v>
      </c>
      <c r="Y47" s="186" t="n">
        <v>1.3</v>
      </c>
      <c r="Z47" s="186" t="n">
        <v>0.93</v>
      </c>
      <c r="AA47" s="186" t="n">
        <v>1.18</v>
      </c>
      <c r="AB47" s="186" t="n">
        <v>0.95</v>
      </c>
      <c r="AC47" s="186" t="n">
        <v>1.04</v>
      </c>
      <c r="AD47" s="186"/>
      <c r="AE47" s="186"/>
      <c r="AF47" s="186"/>
      <c r="AG47" s="186"/>
      <c r="AH47" s="186"/>
      <c r="AI47" s="186"/>
      <c r="AJ47" s="186"/>
      <c r="AK47" s="186"/>
      <c r="AL47" s="186"/>
      <c r="AM47" s="186" t="n">
        <f aca="false">AVERAGE(U47:AC47)</f>
        <v>1.10777777777778</v>
      </c>
      <c r="AN47" s="187" t="n">
        <v>3.67</v>
      </c>
      <c r="AO47" s="188"/>
      <c r="AP47" s="189"/>
      <c r="AQ47" s="184" t="n">
        <f aca="false">AN47-(AN47-Q47)*(SIN((S47+AX47)*PI()/180))/(COS(AX47*PI()/180))</f>
        <v>0.83</v>
      </c>
      <c r="AR47" s="181" t="n">
        <f aca="false">H47+($M$1-M47)-(AN47-Q47)*(COS(S47*PI()/180))*(SIN((T47+13+2.3)*PI()/180))</f>
        <v>635225.48</v>
      </c>
      <c r="AS47" s="181" t="n">
        <f aca="false">I47+($N$1-N47)-(AN47-Q47)*(COS(S47*PI()/180))*(COS((T47+13+2.3)*PI()/180))</f>
        <v>3047100.432</v>
      </c>
      <c r="AT47" s="181" t="n">
        <f aca="false">J47+($O$1-O47)-R47+AN47-(AN47-Q47)*(SIN(S47*PI()/180))-L47</f>
        <v>301.43</v>
      </c>
      <c r="AU47" s="176"/>
      <c r="AV47" s="180"/>
      <c r="AW47" s="190"/>
      <c r="AX47" s="185"/>
    </row>
    <row r="48" customFormat="false" ht="12.75" hidden="false" customHeight="true" outlineLevel="0" collapsed="false">
      <c r="A48" s="96" t="s">
        <v>256</v>
      </c>
      <c r="B48" s="96"/>
      <c r="C48" s="96"/>
      <c r="D48" s="96"/>
      <c r="E48" s="96"/>
      <c r="F48" s="191"/>
      <c r="G48" s="98"/>
      <c r="H48" s="104"/>
      <c r="I48" s="97"/>
      <c r="J48" s="97"/>
      <c r="K48" s="110"/>
      <c r="L48" s="104"/>
      <c r="M48" s="101"/>
      <c r="N48" s="101"/>
      <c r="O48" s="101"/>
      <c r="P48" s="192"/>
      <c r="Q48" s="103"/>
      <c r="R48" s="104"/>
      <c r="S48" s="96"/>
      <c r="T48" s="96"/>
      <c r="U48" s="96"/>
      <c r="V48" s="96"/>
      <c r="W48" s="96"/>
      <c r="X48" s="96"/>
      <c r="Y48" s="96"/>
      <c r="Z48" s="96"/>
      <c r="AA48" s="96"/>
      <c r="AB48" s="96"/>
      <c r="AC48" s="96"/>
      <c r="AD48" s="96"/>
      <c r="AE48" s="96"/>
      <c r="AF48" s="96"/>
      <c r="AG48" s="96"/>
      <c r="AH48" s="96"/>
      <c r="AI48" s="96"/>
      <c r="AJ48" s="96"/>
      <c r="AK48" s="96"/>
      <c r="AL48" s="96"/>
      <c r="AM48" s="97"/>
      <c r="AN48" s="193"/>
      <c r="AO48" s="97"/>
      <c r="AP48" s="96"/>
      <c r="AQ48" s="96"/>
      <c r="AR48" s="96"/>
      <c r="AS48" s="96"/>
      <c r="AT48" s="96"/>
      <c r="AU48" s="96"/>
      <c r="AV48" s="96"/>
      <c r="AW48" s="59"/>
      <c r="AX48" s="105"/>
    </row>
    <row r="49" customFormat="false" ht="12.75" hidden="false" customHeight="true" outlineLevel="0" collapsed="false">
      <c r="A49" s="96" t="s">
        <v>257</v>
      </c>
      <c r="B49" s="96"/>
      <c r="C49" s="96"/>
      <c r="D49" s="96"/>
      <c r="E49" s="96"/>
      <c r="F49" s="191"/>
      <c r="G49" s="98"/>
      <c r="H49" s="104"/>
      <c r="I49" s="97"/>
      <c r="J49" s="97"/>
      <c r="K49" s="110"/>
      <c r="L49" s="104"/>
      <c r="M49" s="101"/>
      <c r="N49" s="101"/>
      <c r="O49" s="101"/>
      <c r="P49" s="192"/>
      <c r="Q49" s="103"/>
      <c r="R49" s="104"/>
      <c r="S49" s="96"/>
      <c r="T49" s="96"/>
      <c r="U49" s="96"/>
      <c r="V49" s="96"/>
      <c r="W49" s="96"/>
      <c r="X49" s="96"/>
      <c r="Y49" s="96"/>
      <c r="Z49" s="96"/>
      <c r="AA49" s="96"/>
      <c r="AB49" s="96"/>
      <c r="AC49" s="96"/>
      <c r="AD49" s="96"/>
      <c r="AE49" s="96"/>
      <c r="AF49" s="96"/>
      <c r="AG49" s="96"/>
      <c r="AH49" s="96"/>
      <c r="AI49" s="96"/>
      <c r="AJ49" s="96"/>
      <c r="AK49" s="96"/>
      <c r="AL49" s="96"/>
      <c r="AM49" s="97"/>
      <c r="AN49" s="193"/>
      <c r="AO49" s="97"/>
      <c r="AP49" s="96"/>
      <c r="AQ49" s="96"/>
      <c r="AR49" s="96"/>
      <c r="AS49" s="96"/>
      <c r="AT49" s="96"/>
      <c r="AU49" s="96"/>
      <c r="AV49" s="96"/>
      <c r="AW49" s="59"/>
      <c r="AX49" s="105"/>
    </row>
    <row r="50" customFormat="false" ht="12.75" hidden="false" customHeight="true" outlineLevel="0" collapsed="false">
      <c r="A50" s="168" t="s">
        <v>258</v>
      </c>
      <c r="B50" s="69" t="s">
        <v>101</v>
      </c>
      <c r="C50" s="69" t="s">
        <v>259</v>
      </c>
      <c r="D50" s="69" t="s">
        <v>103</v>
      </c>
      <c r="E50" s="61"/>
      <c r="F50" s="145"/>
      <c r="G50" s="94" t="s">
        <v>104</v>
      </c>
      <c r="H50" s="1" t="n">
        <v>634271.237</v>
      </c>
      <c r="I50" s="1" t="n">
        <v>3047889.023</v>
      </c>
      <c r="J50" s="1" t="n">
        <v>285.671</v>
      </c>
      <c r="K50" s="79" t="s">
        <v>105</v>
      </c>
      <c r="L50" s="84" t="n">
        <v>0.11</v>
      </c>
      <c r="M50" s="1" t="n">
        <v>633905.233</v>
      </c>
      <c r="N50" s="1" t="n">
        <v>3049240.448</v>
      </c>
      <c r="O50" s="1" t="n">
        <v>56.39</v>
      </c>
      <c r="P50" s="89" t="s">
        <v>106</v>
      </c>
      <c r="Q50" s="72" t="n">
        <v>0.45</v>
      </c>
      <c r="R50" s="73" t="n">
        <v>0.45</v>
      </c>
      <c r="S50" s="90" t="n">
        <v>90</v>
      </c>
      <c r="T50" s="80"/>
      <c r="U50" s="74" t="n">
        <v>1.49</v>
      </c>
      <c r="V50" s="74" t="n">
        <v>1.48</v>
      </c>
      <c r="W50" s="74" t="n">
        <v>1.43</v>
      </c>
      <c r="X50" s="74" t="n">
        <v>1.49</v>
      </c>
      <c r="Y50" s="74" t="n">
        <v>1.51</v>
      </c>
      <c r="Z50" s="74" t="n">
        <v>1.62</v>
      </c>
      <c r="AA50" s="74" t="n">
        <v>1.5</v>
      </c>
      <c r="AB50" s="74"/>
      <c r="AC50" s="74"/>
      <c r="AD50" s="74"/>
      <c r="AE50" s="74"/>
      <c r="AF50" s="74"/>
      <c r="AG50" s="74"/>
      <c r="AH50" s="74"/>
      <c r="AI50" s="74"/>
      <c r="AJ50" s="74"/>
      <c r="AK50" s="74"/>
      <c r="AL50" s="74"/>
      <c r="AM50" s="74" t="n">
        <f aca="false">AVERAGE(U50:AC50)</f>
        <v>1.50285714285714</v>
      </c>
      <c r="AN50" s="92" t="n">
        <v>3.67</v>
      </c>
      <c r="AO50" s="93"/>
      <c r="AP50" s="75"/>
      <c r="AQ50" s="73" t="n">
        <f aca="false">AN50-(AN50-Q50)*(SIN((S50+AX50)*PI()/180))/(COS(AX50*PI()/180))</f>
        <v>0.45</v>
      </c>
      <c r="AR50" s="84" t="n">
        <f aca="false">H50+($M$1-M50)-(AN50-Q50)*(COS(S50*PI()/180))*(SIN((T50+13+2.3)*PI()/180))</f>
        <v>634271.237</v>
      </c>
      <c r="AS50" s="84" t="n">
        <f aca="false">I50+($N$1-N50)-(AN50-Q50)*(COS(S50*PI()/180))*(COS((T50+13+2.3)*PI()/180))</f>
        <v>3047889.023</v>
      </c>
      <c r="AT50" s="84" t="n">
        <f aca="false">J50+($O$1-O50)-R50+AN50-(AN50-Q50)*(SIN(S50*PI()/180))-L50</f>
        <v>285.451</v>
      </c>
      <c r="AU50" s="69"/>
      <c r="AV50" s="79"/>
      <c r="AW50" s="59"/>
      <c r="AX50" s="80"/>
    </row>
    <row r="51" customFormat="false" ht="12.75" hidden="false" customHeight="true" outlineLevel="0" collapsed="false">
      <c r="A51" s="168" t="s">
        <v>260</v>
      </c>
      <c r="B51" s="69" t="s">
        <v>113</v>
      </c>
      <c r="C51" s="69"/>
      <c r="D51" s="69" t="s">
        <v>103</v>
      </c>
      <c r="E51" s="61"/>
      <c r="F51" s="145"/>
      <c r="G51" s="94" t="s">
        <v>114</v>
      </c>
      <c r="H51" s="1" t="n">
        <v>636051.89</v>
      </c>
      <c r="I51" s="1" t="n">
        <v>3048729.944</v>
      </c>
      <c r="J51" s="1" t="n">
        <v>188.66</v>
      </c>
      <c r="K51" s="79" t="s">
        <v>105</v>
      </c>
      <c r="L51" s="84" t="n">
        <v>0</v>
      </c>
      <c r="M51" s="1" t="n">
        <v>633905.233</v>
      </c>
      <c r="N51" s="1" t="n">
        <v>3049240.448</v>
      </c>
      <c r="O51" s="1" t="n">
        <v>56.39</v>
      </c>
      <c r="P51" s="95" t="s">
        <v>261</v>
      </c>
      <c r="Q51" s="72" t="n">
        <v>0.09</v>
      </c>
      <c r="R51" s="73" t="n">
        <v>1.35</v>
      </c>
      <c r="S51" s="90" t="n">
        <v>90</v>
      </c>
      <c r="T51" s="80"/>
      <c r="U51" s="74" t="n">
        <v>0.7</v>
      </c>
      <c r="V51" s="74" t="n">
        <v>0.94</v>
      </c>
      <c r="W51" s="74" t="n">
        <v>0.72</v>
      </c>
      <c r="X51" s="74" t="n">
        <v>0.85</v>
      </c>
      <c r="Y51" s="74" t="n">
        <v>0.76</v>
      </c>
      <c r="Z51" s="74" t="n">
        <v>0.86</v>
      </c>
      <c r="AA51" s="74" t="n">
        <v>0.82</v>
      </c>
      <c r="AB51" s="74" t="n">
        <v>0.85</v>
      </c>
      <c r="AC51" s="74" t="n">
        <v>0.95</v>
      </c>
      <c r="AD51" s="74"/>
      <c r="AE51" s="74"/>
      <c r="AF51" s="74"/>
      <c r="AG51" s="74"/>
      <c r="AH51" s="74"/>
      <c r="AI51" s="74"/>
      <c r="AJ51" s="74"/>
      <c r="AK51" s="74"/>
      <c r="AL51" s="74"/>
      <c r="AM51" s="74" t="n">
        <f aca="false">AVERAGE(U51:AC51)</f>
        <v>0.827777777777778</v>
      </c>
      <c r="AN51" s="92" t="n">
        <v>3.67</v>
      </c>
      <c r="AO51" s="93"/>
      <c r="AP51" s="75"/>
      <c r="AQ51" s="73" t="n">
        <f aca="false">AN51-(AN51-Q51)*(SIN((S51+AX51)*PI()/180))/(COS(AX51*PI()/180))</f>
        <v>0.0899999999999999</v>
      </c>
      <c r="AR51" s="84" t="n">
        <f aca="false">H51+($M$1-M51)-(AN51-Q51)*(COS(S51*PI()/180))*(SIN((T51+13+2.3)*PI()/180))</f>
        <v>636051.89</v>
      </c>
      <c r="AS51" s="84" t="n">
        <f aca="false">I51+($N$1-N51)-(AN51-Q51)*(COS(S51*PI()/180))*(COS((T51+13+2.3)*PI()/180))</f>
        <v>3048729.944</v>
      </c>
      <c r="AT51" s="84" t="n">
        <f aca="false">J51+($O$1-O51)-R51+AN51-(AN51-Q51)*(SIN(S51*PI()/180))-L51</f>
        <v>187.29</v>
      </c>
      <c r="AU51" s="69"/>
      <c r="AV51" s="79"/>
      <c r="AW51" s="59"/>
      <c r="AX51" s="80"/>
    </row>
    <row r="52" customFormat="false" ht="12.75" hidden="false" customHeight="true" outlineLevel="0" collapsed="false">
      <c r="A52" s="163" t="s">
        <v>262</v>
      </c>
      <c r="B52" s="96"/>
      <c r="C52" s="96"/>
      <c r="D52" s="96"/>
      <c r="E52" s="111"/>
      <c r="F52" s="169"/>
      <c r="G52" s="165"/>
      <c r="H52" s="104"/>
      <c r="I52" s="97"/>
      <c r="J52" s="97"/>
      <c r="K52" s="110"/>
      <c r="L52" s="166"/>
      <c r="M52" s="101"/>
      <c r="N52" s="101"/>
      <c r="O52" s="101"/>
      <c r="P52" s="102"/>
      <c r="Q52" s="103"/>
      <c r="R52" s="104"/>
      <c r="S52" s="105"/>
      <c r="T52" s="105"/>
      <c r="U52" s="97"/>
      <c r="V52" s="97"/>
      <c r="W52" s="97"/>
      <c r="X52" s="97"/>
      <c r="Y52" s="97"/>
      <c r="Z52" s="97"/>
      <c r="AA52" s="97"/>
      <c r="AB52" s="97"/>
      <c r="AC52" s="97"/>
      <c r="AD52" s="97"/>
      <c r="AE52" s="97"/>
      <c r="AF52" s="97"/>
      <c r="AG52" s="97"/>
      <c r="AH52" s="97"/>
      <c r="AI52" s="97"/>
      <c r="AJ52" s="97"/>
      <c r="AK52" s="97"/>
      <c r="AL52" s="97"/>
      <c r="AM52" s="97"/>
      <c r="AN52" s="193"/>
      <c r="AO52" s="97"/>
      <c r="AP52" s="109"/>
      <c r="AQ52" s="104"/>
      <c r="AR52" s="99"/>
      <c r="AS52" s="99"/>
      <c r="AT52" s="99"/>
      <c r="AU52" s="96"/>
      <c r="AV52" s="110"/>
      <c r="AW52" s="59"/>
      <c r="AX52" s="105"/>
    </row>
    <row r="53" customFormat="false" ht="12.75" hidden="false" customHeight="true" outlineLevel="0" collapsed="false">
      <c r="A53" s="194" t="s">
        <v>263</v>
      </c>
      <c r="B53" s="96"/>
      <c r="C53" s="96"/>
      <c r="D53" s="96"/>
      <c r="E53" s="111"/>
      <c r="F53" s="169"/>
      <c r="G53" s="165"/>
      <c r="H53" s="104"/>
      <c r="I53" s="97"/>
      <c r="J53" s="97"/>
      <c r="K53" s="110"/>
      <c r="L53" s="166"/>
      <c r="M53" s="101"/>
      <c r="N53" s="101"/>
      <c r="O53" s="101"/>
      <c r="P53" s="102"/>
      <c r="Q53" s="103"/>
      <c r="R53" s="104"/>
      <c r="S53" s="105"/>
      <c r="T53" s="105"/>
      <c r="U53" s="97"/>
      <c r="V53" s="97"/>
      <c r="W53" s="97"/>
      <c r="X53" s="97"/>
      <c r="Y53" s="97"/>
      <c r="Z53" s="97"/>
      <c r="AA53" s="97"/>
      <c r="AB53" s="97"/>
      <c r="AC53" s="97"/>
      <c r="AD53" s="97"/>
      <c r="AE53" s="97"/>
      <c r="AF53" s="97"/>
      <c r="AG53" s="97"/>
      <c r="AH53" s="97"/>
      <c r="AI53" s="97"/>
      <c r="AJ53" s="97"/>
      <c r="AK53" s="97"/>
      <c r="AL53" s="97"/>
      <c r="AM53" s="97"/>
      <c r="AN53" s="193"/>
      <c r="AO53" s="97"/>
      <c r="AP53" s="109"/>
      <c r="AQ53" s="104"/>
      <c r="AR53" s="99"/>
      <c r="AS53" s="99"/>
      <c r="AT53" s="99"/>
      <c r="AU53" s="96"/>
      <c r="AV53" s="110"/>
      <c r="AW53" s="59"/>
      <c r="AX53" s="105"/>
    </row>
    <row r="54" customFormat="false" ht="12.75" hidden="false" customHeight="true" outlineLevel="0" collapsed="false">
      <c r="A54" s="96" t="s">
        <v>264</v>
      </c>
      <c r="B54" s="96"/>
      <c r="C54" s="96"/>
      <c r="D54" s="96"/>
      <c r="E54" s="96"/>
      <c r="F54" s="191"/>
      <c r="G54" s="98"/>
      <c r="H54" s="104"/>
      <c r="I54" s="97"/>
      <c r="J54" s="97"/>
      <c r="K54" s="110"/>
      <c r="L54" s="104"/>
      <c r="M54" s="101"/>
      <c r="N54" s="101"/>
      <c r="O54" s="101"/>
      <c r="P54" s="192"/>
      <c r="Q54" s="103"/>
      <c r="R54" s="104"/>
      <c r="S54" s="96"/>
      <c r="T54" s="96"/>
      <c r="U54" s="96"/>
      <c r="V54" s="96"/>
      <c r="W54" s="96"/>
      <c r="X54" s="96"/>
      <c r="Y54" s="96"/>
      <c r="Z54" s="96"/>
      <c r="AA54" s="96"/>
      <c r="AB54" s="96"/>
      <c r="AC54" s="96"/>
      <c r="AD54" s="96"/>
      <c r="AE54" s="96"/>
      <c r="AF54" s="96"/>
      <c r="AG54" s="96"/>
      <c r="AH54" s="96"/>
      <c r="AI54" s="96"/>
      <c r="AJ54" s="96"/>
      <c r="AK54" s="96"/>
      <c r="AL54" s="96"/>
      <c r="AM54" s="97"/>
      <c r="AN54" s="193"/>
      <c r="AO54" s="97"/>
      <c r="AP54" s="96"/>
      <c r="AQ54" s="96"/>
      <c r="AR54" s="96"/>
      <c r="AS54" s="96"/>
      <c r="AT54" s="96"/>
      <c r="AU54" s="96"/>
      <c r="AV54" s="96"/>
      <c r="AW54" s="59"/>
      <c r="AX54" s="105"/>
    </row>
    <row r="55" customFormat="false" ht="12.75" hidden="false" customHeight="true" outlineLevel="0" collapsed="false">
      <c r="A55" s="60" t="s">
        <v>265</v>
      </c>
      <c r="B55" s="69" t="s">
        <v>113</v>
      </c>
      <c r="C55" s="69"/>
      <c r="D55" s="69" t="s">
        <v>103</v>
      </c>
      <c r="E55" s="61"/>
      <c r="F55" s="145"/>
      <c r="G55" s="94" t="s">
        <v>114</v>
      </c>
      <c r="H55" s="1" t="n">
        <v>636864.706</v>
      </c>
      <c r="I55" s="1" t="n">
        <v>3048871.031</v>
      </c>
      <c r="J55" s="1" t="n">
        <v>256.605</v>
      </c>
      <c r="K55" s="79" t="s">
        <v>105</v>
      </c>
      <c r="L55" s="84" t="n">
        <v>0.11</v>
      </c>
      <c r="M55" s="1" t="n">
        <v>633905.233</v>
      </c>
      <c r="N55" s="1" t="n">
        <v>3049240.448</v>
      </c>
      <c r="O55" s="1" t="n">
        <v>56.39</v>
      </c>
      <c r="P55" s="95" t="s">
        <v>106</v>
      </c>
      <c r="Q55" s="72" t="n">
        <v>1.24</v>
      </c>
      <c r="R55" s="73" t="n">
        <v>1.24</v>
      </c>
      <c r="S55" s="90" t="n">
        <v>90</v>
      </c>
      <c r="T55" s="80"/>
      <c r="U55" s="74" t="n">
        <v>1.07</v>
      </c>
      <c r="V55" s="74" t="n">
        <v>0.73</v>
      </c>
      <c r="W55" s="74" t="n">
        <v>0.88</v>
      </c>
      <c r="X55" s="74" t="n">
        <v>1.04</v>
      </c>
      <c r="Y55" s="74" t="n">
        <v>0.78</v>
      </c>
      <c r="Z55" s="74" t="n">
        <v>0.93</v>
      </c>
      <c r="AA55" s="74" t="n">
        <v>1.07</v>
      </c>
      <c r="AB55" s="74" t="n">
        <v>1.02</v>
      </c>
      <c r="AC55" s="74" t="n">
        <v>1.02</v>
      </c>
      <c r="AD55" s="74" t="n">
        <v>0.77</v>
      </c>
      <c r="AE55" s="74"/>
      <c r="AF55" s="74"/>
      <c r="AG55" s="74"/>
      <c r="AH55" s="74"/>
      <c r="AI55" s="74"/>
      <c r="AJ55" s="74"/>
      <c r="AK55" s="74"/>
      <c r="AL55" s="74"/>
      <c r="AM55" s="74" t="n">
        <f aca="false">AVERAGE(U55:AC55)</f>
        <v>0.948888888888889</v>
      </c>
      <c r="AN55" s="92" t="n">
        <v>3.67</v>
      </c>
      <c r="AO55" s="93"/>
      <c r="AP55" s="75"/>
      <c r="AQ55" s="73" t="n">
        <f aca="false">AN55-(AN55-Q55)*(SIN((S55+AX55)*PI()/180))/(COS(AX55*PI()/180))</f>
        <v>1.24</v>
      </c>
      <c r="AR55" s="84" t="n">
        <f aca="false">H55+($M$1-M55)-(AN55-Q55)*(COS(S55*PI()/180))*(SIN((T55+13+2.3)*PI()/180))</f>
        <v>636864.706</v>
      </c>
      <c r="AS55" s="84" t="n">
        <f aca="false">I55+($N$1-N55)-(AN55-Q55)*(COS(S55*PI()/180))*(COS((T55+13+2.3)*PI()/180))</f>
        <v>3048871.031</v>
      </c>
      <c r="AT55" s="84" t="n">
        <f aca="false">J55+($O$1-O55)-R55+AN55-(AN55-Q55)*(SIN(S55*PI()/180))-L55</f>
        <v>256.385</v>
      </c>
      <c r="AU55" s="69"/>
      <c r="AV55" s="79"/>
      <c r="AW55" s="59"/>
      <c r="AX55" s="80"/>
    </row>
    <row r="56" customFormat="false" ht="12.75" hidden="false" customHeight="true" outlineLevel="0" collapsed="false">
      <c r="A56" s="194" t="s">
        <v>266</v>
      </c>
      <c r="B56" s="96"/>
      <c r="C56" s="96"/>
      <c r="D56" s="96"/>
      <c r="E56" s="111"/>
      <c r="F56" s="169"/>
      <c r="G56" s="165"/>
      <c r="H56" s="104"/>
      <c r="I56" s="97"/>
      <c r="J56" s="97"/>
      <c r="K56" s="110"/>
      <c r="L56" s="166"/>
      <c r="M56" s="101"/>
      <c r="N56" s="101"/>
      <c r="O56" s="101"/>
      <c r="P56" s="102"/>
      <c r="Q56" s="103"/>
      <c r="R56" s="104"/>
      <c r="S56" s="105"/>
      <c r="T56" s="105"/>
      <c r="U56" s="97"/>
      <c r="V56" s="97"/>
      <c r="W56" s="97"/>
      <c r="X56" s="97"/>
      <c r="Y56" s="97"/>
      <c r="Z56" s="97"/>
      <c r="AA56" s="97"/>
      <c r="AB56" s="97"/>
      <c r="AC56" s="97"/>
      <c r="AD56" s="97"/>
      <c r="AE56" s="97"/>
      <c r="AF56" s="97"/>
      <c r="AG56" s="97"/>
      <c r="AH56" s="97"/>
      <c r="AI56" s="97"/>
      <c r="AJ56" s="97"/>
      <c r="AK56" s="97"/>
      <c r="AL56" s="97"/>
      <c r="AM56" s="97"/>
      <c r="AN56" s="193"/>
      <c r="AO56" s="97"/>
      <c r="AP56" s="109"/>
      <c r="AQ56" s="195"/>
      <c r="AR56" s="196"/>
      <c r="AS56" s="196"/>
      <c r="AT56" s="196"/>
      <c r="AU56" s="96"/>
      <c r="AV56" s="110"/>
      <c r="AW56" s="59"/>
      <c r="AX56" s="105"/>
    </row>
    <row r="57" customFormat="false" ht="12.75" hidden="false" customHeight="true" outlineLevel="0" collapsed="false">
      <c r="A57" s="194" t="s">
        <v>267</v>
      </c>
      <c r="B57" s="96"/>
      <c r="C57" s="96"/>
      <c r="D57" s="96"/>
      <c r="E57" s="111"/>
      <c r="F57" s="169"/>
      <c r="G57" s="165"/>
      <c r="H57" s="104"/>
      <c r="I57" s="97"/>
      <c r="J57" s="97"/>
      <c r="K57" s="110"/>
      <c r="L57" s="166"/>
      <c r="M57" s="101"/>
      <c r="N57" s="101"/>
      <c r="O57" s="101"/>
      <c r="P57" s="102"/>
      <c r="Q57" s="103"/>
      <c r="R57" s="104"/>
      <c r="S57" s="105"/>
      <c r="T57" s="105"/>
      <c r="U57" s="97"/>
      <c r="V57" s="97"/>
      <c r="W57" s="97"/>
      <c r="X57" s="97"/>
      <c r="Y57" s="97"/>
      <c r="Z57" s="97"/>
      <c r="AA57" s="97"/>
      <c r="AB57" s="97"/>
      <c r="AC57" s="97"/>
      <c r="AD57" s="97"/>
      <c r="AE57" s="97"/>
      <c r="AF57" s="97"/>
      <c r="AG57" s="97"/>
      <c r="AH57" s="97"/>
      <c r="AI57" s="97"/>
      <c r="AJ57" s="97"/>
      <c r="AK57" s="97"/>
      <c r="AL57" s="97"/>
      <c r="AM57" s="97"/>
      <c r="AN57" s="193"/>
      <c r="AO57" s="97"/>
      <c r="AP57" s="109"/>
      <c r="AQ57" s="195"/>
      <c r="AR57" s="196"/>
      <c r="AS57" s="196"/>
      <c r="AT57" s="196"/>
      <c r="AU57" s="96"/>
      <c r="AV57" s="110"/>
      <c r="AW57" s="59"/>
      <c r="AX57" s="105"/>
    </row>
    <row r="58" customFormat="false" ht="12.75" hidden="false" customHeight="true" outlineLevel="0" collapsed="false">
      <c r="A58" s="194" t="s">
        <v>268</v>
      </c>
      <c r="B58" s="96"/>
      <c r="C58" s="96"/>
      <c r="D58" s="96"/>
      <c r="E58" s="111"/>
      <c r="F58" s="169"/>
      <c r="G58" s="165"/>
      <c r="H58" s="104"/>
      <c r="I58" s="97"/>
      <c r="J58" s="97"/>
      <c r="K58" s="110"/>
      <c r="L58" s="166"/>
      <c r="M58" s="101"/>
      <c r="N58" s="101"/>
      <c r="O58" s="101"/>
      <c r="P58" s="102"/>
      <c r="Q58" s="103"/>
      <c r="R58" s="104"/>
      <c r="S58" s="105"/>
      <c r="T58" s="105"/>
      <c r="U58" s="97"/>
      <c r="V58" s="97"/>
      <c r="W58" s="97"/>
      <c r="X58" s="97"/>
      <c r="Y58" s="97"/>
      <c r="Z58" s="97"/>
      <c r="AA58" s="97"/>
      <c r="AB58" s="97"/>
      <c r="AC58" s="97"/>
      <c r="AD58" s="97"/>
      <c r="AE58" s="97"/>
      <c r="AF58" s="97"/>
      <c r="AG58" s="97"/>
      <c r="AH58" s="97"/>
      <c r="AI58" s="97"/>
      <c r="AJ58" s="97"/>
      <c r="AK58" s="97"/>
      <c r="AL58" s="97"/>
      <c r="AM58" s="97"/>
      <c r="AN58" s="193"/>
      <c r="AO58" s="97"/>
      <c r="AP58" s="109"/>
      <c r="AQ58" s="195"/>
      <c r="AR58" s="196"/>
      <c r="AS58" s="196"/>
      <c r="AT58" s="196"/>
      <c r="AU58" s="96"/>
      <c r="AV58" s="110"/>
      <c r="AW58" s="59"/>
      <c r="AX58" s="105"/>
    </row>
    <row r="59" customFormat="false" ht="12.75" hidden="false" customHeight="true" outlineLevel="0" collapsed="false">
      <c r="A59" s="194" t="s">
        <v>269</v>
      </c>
      <c r="B59" s="96"/>
      <c r="C59" s="96"/>
      <c r="D59" s="96"/>
      <c r="E59" s="111"/>
      <c r="F59" s="169"/>
      <c r="G59" s="165"/>
      <c r="H59" s="104"/>
      <c r="I59" s="97"/>
      <c r="J59" s="97"/>
      <c r="K59" s="110"/>
      <c r="L59" s="166"/>
      <c r="M59" s="101"/>
      <c r="N59" s="101"/>
      <c r="O59" s="101"/>
      <c r="P59" s="102"/>
      <c r="Q59" s="103"/>
      <c r="R59" s="104"/>
      <c r="S59" s="105"/>
      <c r="T59" s="105"/>
      <c r="U59" s="97"/>
      <c r="V59" s="97"/>
      <c r="W59" s="97"/>
      <c r="X59" s="97"/>
      <c r="Y59" s="97"/>
      <c r="Z59" s="97"/>
      <c r="AA59" s="97"/>
      <c r="AB59" s="97"/>
      <c r="AC59" s="97"/>
      <c r="AD59" s="97"/>
      <c r="AE59" s="97"/>
      <c r="AF59" s="97"/>
      <c r="AG59" s="97"/>
      <c r="AH59" s="97"/>
      <c r="AI59" s="97"/>
      <c r="AJ59" s="97"/>
      <c r="AK59" s="97"/>
      <c r="AL59" s="97"/>
      <c r="AM59" s="97"/>
      <c r="AN59" s="193"/>
      <c r="AO59" s="97"/>
      <c r="AP59" s="109"/>
      <c r="AQ59" s="195"/>
      <c r="AR59" s="196"/>
      <c r="AS59" s="196"/>
      <c r="AT59" s="196"/>
      <c r="AU59" s="96"/>
      <c r="AV59" s="110"/>
      <c r="AW59" s="59"/>
      <c r="AX59" s="105"/>
    </row>
    <row r="60" customFormat="false" ht="12.75" hidden="false" customHeight="true" outlineLevel="0" collapsed="false">
      <c r="A60" s="194" t="s">
        <v>270</v>
      </c>
      <c r="B60" s="96"/>
      <c r="C60" s="96"/>
      <c r="D60" s="96"/>
      <c r="E60" s="111"/>
      <c r="F60" s="169"/>
      <c r="G60" s="165"/>
      <c r="H60" s="104"/>
      <c r="I60" s="97"/>
      <c r="J60" s="97"/>
      <c r="K60" s="110"/>
      <c r="L60" s="166"/>
      <c r="M60" s="101"/>
      <c r="N60" s="101"/>
      <c r="O60" s="101"/>
      <c r="P60" s="102"/>
      <c r="Q60" s="103"/>
      <c r="R60" s="104"/>
      <c r="S60" s="105"/>
      <c r="T60" s="105"/>
      <c r="U60" s="97"/>
      <c r="V60" s="97"/>
      <c r="W60" s="97"/>
      <c r="X60" s="97"/>
      <c r="Y60" s="97"/>
      <c r="Z60" s="97"/>
      <c r="AA60" s="97"/>
      <c r="AB60" s="97"/>
      <c r="AC60" s="97"/>
      <c r="AD60" s="97"/>
      <c r="AE60" s="97"/>
      <c r="AF60" s="97"/>
      <c r="AG60" s="97"/>
      <c r="AH60" s="97"/>
      <c r="AI60" s="97"/>
      <c r="AJ60" s="97"/>
      <c r="AK60" s="97"/>
      <c r="AL60" s="97"/>
      <c r="AM60" s="97"/>
      <c r="AN60" s="193"/>
      <c r="AO60" s="97"/>
      <c r="AP60" s="109"/>
      <c r="AQ60" s="195"/>
      <c r="AR60" s="196"/>
      <c r="AS60" s="196"/>
      <c r="AT60" s="196"/>
      <c r="AU60" s="96"/>
      <c r="AV60" s="110"/>
      <c r="AW60" s="59"/>
      <c r="AX60" s="105"/>
    </row>
    <row r="61" customFormat="false" ht="12.75" hidden="false" customHeight="true" outlineLevel="0" collapsed="false">
      <c r="A61" s="197" t="s">
        <v>271</v>
      </c>
      <c r="B61" s="69" t="s">
        <v>211</v>
      </c>
      <c r="C61" s="69"/>
      <c r="D61" s="69" t="s">
        <v>103</v>
      </c>
      <c r="E61" s="61"/>
      <c r="F61" s="145"/>
      <c r="G61" s="94" t="s">
        <v>213</v>
      </c>
      <c r="H61" s="1" t="n">
        <v>635349.815</v>
      </c>
      <c r="I61" s="1" t="n">
        <v>3049011.864</v>
      </c>
      <c r="J61" s="1" t="n">
        <v>113.088</v>
      </c>
      <c r="K61" s="79" t="s">
        <v>105</v>
      </c>
      <c r="L61" s="198" t="n">
        <v>0</v>
      </c>
      <c r="M61" s="1" t="n">
        <v>633905.233</v>
      </c>
      <c r="N61" s="1" t="n">
        <v>3049240.448</v>
      </c>
      <c r="O61" s="1" t="n">
        <v>56.39</v>
      </c>
      <c r="P61" s="171" t="s">
        <v>272</v>
      </c>
      <c r="Q61" s="72" t="n">
        <v>3.1</v>
      </c>
      <c r="R61" s="73" t="n">
        <v>1.05</v>
      </c>
      <c r="S61" s="90" t="n">
        <v>90</v>
      </c>
      <c r="T61" s="80"/>
      <c r="U61" s="74"/>
      <c r="V61" s="74"/>
      <c r="W61" s="74"/>
      <c r="X61" s="74"/>
      <c r="Y61" s="74"/>
      <c r="Z61" s="74"/>
      <c r="AA61" s="74"/>
      <c r="AB61" s="74"/>
      <c r="AC61" s="74"/>
      <c r="AD61" s="74"/>
      <c r="AE61" s="74"/>
      <c r="AF61" s="74"/>
      <c r="AG61" s="74"/>
      <c r="AH61" s="74"/>
      <c r="AI61" s="74"/>
      <c r="AJ61" s="74"/>
      <c r="AK61" s="74"/>
      <c r="AL61" s="74"/>
      <c r="AM61" s="74" t="e">
        <f aca="false">AVERAGE(U61:AC61)</f>
        <v>#DIV/0!</v>
      </c>
      <c r="AN61" s="92" t="n">
        <v>3.67</v>
      </c>
      <c r="AO61" s="77"/>
      <c r="AP61" s="75"/>
      <c r="AQ61" s="73" t="n">
        <f aca="false">AN61-(AN61-Q61)*(SIN((S61+AX61)*PI()/180))/(COS(AX61*PI()/180))</f>
        <v>3.1</v>
      </c>
      <c r="AR61" s="84" t="n">
        <f aca="false">H61+($M$1-M61)-(AN61-Q61)*(COS(S61*PI()/180))*(SIN((T61+13+2.3)*PI()/180))</f>
        <v>635349.815</v>
      </c>
      <c r="AS61" s="84" t="n">
        <f aca="false">I61+($N$1-N61)-(AN61-Q61)*(COS(S61*PI()/180))*(COS((T61+13+2.3)*PI()/180))</f>
        <v>3049011.864</v>
      </c>
      <c r="AT61" s="84" t="n">
        <f aca="false">J61+($O$1-O61)-R61+AN61-(AN61-Q61)*(SIN(S61*PI()/180))-L61</f>
        <v>115.028</v>
      </c>
      <c r="AU61" s="69"/>
      <c r="AV61" s="79"/>
      <c r="AW61" s="59"/>
      <c r="AX61" s="80"/>
    </row>
    <row r="62" customFormat="false" ht="12.75" hidden="false" customHeight="true" outlineLevel="0" collapsed="false">
      <c r="A62" s="96" t="s">
        <v>273</v>
      </c>
      <c r="B62" s="96"/>
      <c r="C62" s="96"/>
      <c r="D62" s="96"/>
      <c r="E62" s="96"/>
      <c r="F62" s="191"/>
      <c r="G62" s="98"/>
      <c r="H62" s="104"/>
      <c r="I62" s="97"/>
      <c r="J62" s="97"/>
      <c r="K62" s="110"/>
      <c r="L62" s="104"/>
      <c r="M62" s="101"/>
      <c r="N62" s="101"/>
      <c r="O62" s="101"/>
      <c r="P62" s="192"/>
      <c r="Q62" s="103"/>
      <c r="R62" s="104"/>
      <c r="S62" s="96"/>
      <c r="T62" s="96"/>
      <c r="U62" s="96"/>
      <c r="V62" s="96"/>
      <c r="W62" s="96"/>
      <c r="X62" s="96"/>
      <c r="Y62" s="96"/>
      <c r="Z62" s="96"/>
      <c r="AA62" s="96"/>
      <c r="AB62" s="96"/>
      <c r="AC62" s="96"/>
      <c r="AD62" s="96"/>
      <c r="AE62" s="96"/>
      <c r="AF62" s="96"/>
      <c r="AG62" s="96"/>
      <c r="AH62" s="96"/>
      <c r="AI62" s="96"/>
      <c r="AJ62" s="96"/>
      <c r="AK62" s="96"/>
      <c r="AL62" s="96"/>
      <c r="AM62" s="97"/>
      <c r="AN62" s="193"/>
      <c r="AO62" s="97"/>
      <c r="AP62" s="96"/>
      <c r="AQ62" s="96"/>
      <c r="AR62" s="96"/>
      <c r="AS62" s="96"/>
      <c r="AT62" s="96"/>
      <c r="AU62" s="96"/>
      <c r="AV62" s="96"/>
      <c r="AW62" s="59"/>
      <c r="AX62" s="105"/>
    </row>
    <row r="63" customFormat="false" ht="12.75" hidden="false" customHeight="true" outlineLevel="0" collapsed="false">
      <c r="A63" s="96" t="s">
        <v>274</v>
      </c>
      <c r="B63" s="96"/>
      <c r="C63" s="96"/>
      <c r="D63" s="96"/>
      <c r="E63" s="96"/>
      <c r="F63" s="191"/>
      <c r="G63" s="98"/>
      <c r="H63" s="104"/>
      <c r="I63" s="97"/>
      <c r="J63" s="97"/>
      <c r="K63" s="110"/>
      <c r="L63" s="104"/>
      <c r="M63" s="101"/>
      <c r="N63" s="101"/>
      <c r="O63" s="101"/>
      <c r="P63" s="192"/>
      <c r="Q63" s="103"/>
      <c r="R63" s="104"/>
      <c r="S63" s="96"/>
      <c r="T63" s="96"/>
      <c r="U63" s="96"/>
      <c r="V63" s="96"/>
      <c r="W63" s="96"/>
      <c r="X63" s="96"/>
      <c r="Y63" s="96"/>
      <c r="Z63" s="96"/>
      <c r="AA63" s="96"/>
      <c r="AB63" s="96"/>
      <c r="AC63" s="96"/>
      <c r="AD63" s="96"/>
      <c r="AE63" s="96"/>
      <c r="AF63" s="96"/>
      <c r="AG63" s="96"/>
      <c r="AH63" s="96"/>
      <c r="AI63" s="96"/>
      <c r="AJ63" s="96"/>
      <c r="AK63" s="96"/>
      <c r="AL63" s="96"/>
      <c r="AM63" s="97"/>
      <c r="AN63" s="193"/>
      <c r="AO63" s="97"/>
      <c r="AP63" s="96"/>
      <c r="AQ63" s="96"/>
      <c r="AR63" s="96"/>
      <c r="AS63" s="96"/>
      <c r="AT63" s="96"/>
      <c r="AU63" s="96"/>
      <c r="AV63" s="96"/>
      <c r="AW63" s="59"/>
      <c r="AX63" s="105"/>
    </row>
    <row r="64" customFormat="false" ht="12.75" hidden="false" customHeight="true" outlineLevel="0" collapsed="false">
      <c r="A64" s="60" t="s">
        <v>275</v>
      </c>
      <c r="B64" s="69" t="s">
        <v>113</v>
      </c>
      <c r="C64" s="69" t="s">
        <v>276</v>
      </c>
      <c r="D64" s="69" t="s">
        <v>103</v>
      </c>
      <c r="E64" s="61"/>
      <c r="F64" s="145"/>
      <c r="G64" s="94" t="s">
        <v>114</v>
      </c>
      <c r="H64" s="1" t="n">
        <v>634735.287</v>
      </c>
      <c r="I64" s="1" t="n">
        <v>3048374.849</v>
      </c>
      <c r="J64" s="1" t="n">
        <v>192.163</v>
      </c>
      <c r="K64" s="79" t="s">
        <v>105</v>
      </c>
      <c r="L64" s="84" t="n">
        <v>0</v>
      </c>
      <c r="M64" s="1" t="n">
        <v>633905.233</v>
      </c>
      <c r="N64" s="1" t="n">
        <v>3049240.448</v>
      </c>
      <c r="O64" s="1" t="n">
        <v>56.39</v>
      </c>
      <c r="P64" s="95" t="s">
        <v>277</v>
      </c>
      <c r="Q64" s="72" t="n">
        <v>0.36</v>
      </c>
      <c r="R64" s="73" t="n">
        <v>1.57</v>
      </c>
      <c r="S64" s="90" t="n">
        <v>90</v>
      </c>
      <c r="T64" s="80"/>
      <c r="U64" s="74" t="n">
        <v>0.34</v>
      </c>
      <c r="V64" s="74" t="n">
        <v>0.27</v>
      </c>
      <c r="W64" s="74" t="n">
        <v>0.31</v>
      </c>
      <c r="X64" s="74" t="n">
        <v>0.34</v>
      </c>
      <c r="Y64" s="74" t="n">
        <v>0.45</v>
      </c>
      <c r="Z64" s="74" t="n">
        <v>0.45</v>
      </c>
      <c r="AA64" s="74" t="n">
        <v>0.5</v>
      </c>
      <c r="AB64" s="74" t="n">
        <v>0.32</v>
      </c>
      <c r="AC64" s="74" t="n">
        <v>0.34</v>
      </c>
      <c r="AD64" s="74" t="n">
        <v>0.49</v>
      </c>
      <c r="AE64" s="74" t="n">
        <v>0.48</v>
      </c>
      <c r="AF64" s="74" t="n">
        <v>0.49</v>
      </c>
      <c r="AG64" s="74" t="n">
        <v>0.64</v>
      </c>
      <c r="AH64" s="74" t="n">
        <v>0.52</v>
      </c>
      <c r="AI64" s="74"/>
      <c r="AJ64" s="74"/>
      <c r="AK64" s="74"/>
      <c r="AL64" s="74"/>
      <c r="AM64" s="74" t="n">
        <f aca="false">AVERAGE(U64:AC64)</f>
        <v>0.368888888888889</v>
      </c>
      <c r="AN64" s="92" t="n">
        <v>3.67</v>
      </c>
      <c r="AO64" s="93"/>
      <c r="AP64" s="75"/>
      <c r="AQ64" s="73" t="n">
        <f aca="false">AN64-(AN64-Q64)*(SIN((S64+AX64)*PI()/180))/(COS(AX64*PI()/180))</f>
        <v>0.36</v>
      </c>
      <c r="AR64" s="84" t="n">
        <f aca="false">H64+($M$1-M64)-(AN64-Q64)*(COS(S64*PI()/180))*(SIN((T64+13+2.3)*PI()/180))</f>
        <v>634735.287</v>
      </c>
      <c r="AS64" s="84" t="n">
        <f aca="false">I64+($N$1-N64)-(AN64-Q64)*(COS(S64*PI()/180))*(COS((T64+13+2.3)*PI()/180))</f>
        <v>3048374.849</v>
      </c>
      <c r="AT64" s="84" t="n">
        <f aca="false">J64+($O$1-O64)-R64+AN64-(AN64-Q64)*(SIN(S64*PI()/180))-L64</f>
        <v>190.843</v>
      </c>
      <c r="AU64" s="199"/>
      <c r="AV64" s="200" t="s">
        <v>278</v>
      </c>
      <c r="AW64" s="201"/>
      <c r="AX64" s="80"/>
    </row>
    <row r="65" customFormat="false" ht="12.75" hidden="false" customHeight="true" outlineLevel="0" collapsed="false">
      <c r="A65" s="96" t="s">
        <v>279</v>
      </c>
      <c r="B65" s="96"/>
      <c r="C65" s="96"/>
      <c r="D65" s="96"/>
      <c r="E65" s="96"/>
      <c r="F65" s="191"/>
      <c r="G65" s="98"/>
      <c r="H65" s="104"/>
      <c r="I65" s="97"/>
      <c r="J65" s="97"/>
      <c r="K65" s="110"/>
      <c r="L65" s="104"/>
      <c r="M65" s="101"/>
      <c r="N65" s="101"/>
      <c r="O65" s="101"/>
      <c r="P65" s="192"/>
      <c r="Q65" s="103"/>
      <c r="R65" s="104"/>
      <c r="S65" s="96"/>
      <c r="T65" s="96"/>
      <c r="U65" s="96"/>
      <c r="V65" s="96"/>
      <c r="W65" s="96"/>
      <c r="X65" s="96"/>
      <c r="Y65" s="96"/>
      <c r="Z65" s="96"/>
      <c r="AA65" s="96"/>
      <c r="AB65" s="96"/>
      <c r="AC65" s="96"/>
      <c r="AD65" s="96"/>
      <c r="AE65" s="96"/>
      <c r="AF65" s="96"/>
      <c r="AG65" s="96"/>
      <c r="AH65" s="96"/>
      <c r="AI65" s="96"/>
      <c r="AJ65" s="96"/>
      <c r="AK65" s="96"/>
      <c r="AL65" s="96"/>
      <c r="AM65" s="97"/>
      <c r="AN65" s="193"/>
      <c r="AO65" s="97"/>
      <c r="AP65" s="96"/>
      <c r="AQ65" s="96"/>
      <c r="AR65" s="96"/>
      <c r="AS65" s="96"/>
      <c r="AT65" s="96"/>
      <c r="AU65" s="96"/>
      <c r="AV65" s="96"/>
      <c r="AW65" s="59"/>
      <c r="AX65" s="105"/>
    </row>
    <row r="66" customFormat="false" ht="12.75" hidden="false" customHeight="true" outlineLevel="0" collapsed="false">
      <c r="A66" s="202" t="s">
        <v>280</v>
      </c>
      <c r="B66" s="69" t="s">
        <v>211</v>
      </c>
      <c r="C66" s="69"/>
      <c r="D66" s="69" t="s">
        <v>103</v>
      </c>
      <c r="E66" s="61"/>
      <c r="F66" s="145"/>
      <c r="G66" s="94" t="s">
        <v>213</v>
      </c>
      <c r="H66" s="1" t="n">
        <v>635684.608</v>
      </c>
      <c r="I66" s="1" t="n">
        <v>3048748.271</v>
      </c>
      <c r="J66" s="1" t="n">
        <v>160.591</v>
      </c>
      <c r="K66" s="79" t="s">
        <v>105</v>
      </c>
      <c r="L66" s="84" t="n">
        <v>0.11</v>
      </c>
      <c r="M66" s="1" t="n">
        <v>633905.233</v>
      </c>
      <c r="N66" s="1" t="n">
        <v>3049240.448</v>
      </c>
      <c r="O66" s="1" t="n">
        <v>56.39</v>
      </c>
      <c r="P66" s="95" t="s">
        <v>106</v>
      </c>
      <c r="Q66" s="72" t="n">
        <v>2.14</v>
      </c>
      <c r="R66" s="73" t="n">
        <v>2.14</v>
      </c>
      <c r="S66" s="90" t="n">
        <v>90</v>
      </c>
      <c r="T66" s="203"/>
      <c r="U66" s="203" t="n">
        <v>0.22</v>
      </c>
      <c r="V66" s="203" t="n">
        <v>0.25</v>
      </c>
      <c r="W66" s="203" t="n">
        <v>0.19</v>
      </c>
      <c r="X66" s="203" t="n">
        <v>0.23</v>
      </c>
      <c r="Y66" s="203" t="n">
        <v>0.17</v>
      </c>
      <c r="Z66" s="203"/>
      <c r="AA66" s="203"/>
      <c r="AB66" s="203"/>
      <c r="AC66" s="203"/>
      <c r="AD66" s="203"/>
      <c r="AE66" s="203"/>
      <c r="AF66" s="203"/>
      <c r="AG66" s="203"/>
      <c r="AH66" s="203"/>
      <c r="AI66" s="203"/>
      <c r="AJ66" s="203"/>
      <c r="AK66" s="203"/>
      <c r="AL66" s="203"/>
      <c r="AM66" s="74" t="n">
        <f aca="false">AVERAGE(U66:AC66)</f>
        <v>0.212</v>
      </c>
      <c r="AN66" s="92" t="n">
        <v>3.67</v>
      </c>
      <c r="AO66" s="93"/>
      <c r="AP66" s="75"/>
      <c r="AQ66" s="73" t="n">
        <f aca="false">AN66-(AN66-Q66)*(SIN((S66+AX66)*PI()/180))/(COS(AX66*PI()/180))</f>
        <v>2.14</v>
      </c>
      <c r="AR66" s="84" t="n">
        <f aca="false">H66+($M$1-M66)-(AN66-Q66)*(COS(S66*PI()/180))*(SIN((T66+13+2.3)*PI()/180))</f>
        <v>635684.608</v>
      </c>
      <c r="AS66" s="84" t="n">
        <f aca="false">I66+($N$1-N66)-(AN66-Q66)*(COS(S66*PI()/180))*(COS((T66+13+2.3)*PI()/180))</f>
        <v>3048748.271</v>
      </c>
      <c r="AT66" s="84" t="n">
        <f aca="false">J66+($O$1-O66)-R66+AN66-(AN66-Q66)*(SIN(S66*PI()/180))-L66</f>
        <v>160.371</v>
      </c>
      <c r="AU66" s="69"/>
      <c r="AV66" s="79"/>
      <c r="AW66" s="59"/>
      <c r="AX66" s="80"/>
    </row>
    <row r="67" customFormat="false" ht="14.25" hidden="false" customHeight="true" outlineLevel="0" collapsed="false">
      <c r="A67" s="96" t="s">
        <v>281</v>
      </c>
      <c r="B67" s="96"/>
      <c r="C67" s="96"/>
      <c r="D67" s="96"/>
      <c r="E67" s="96"/>
      <c r="F67" s="191"/>
      <c r="G67" s="98"/>
      <c r="H67" s="104"/>
      <c r="I67" s="97"/>
      <c r="J67" s="97"/>
      <c r="K67" s="110"/>
      <c r="L67" s="104"/>
      <c r="M67" s="101"/>
      <c r="N67" s="101"/>
      <c r="O67" s="101"/>
      <c r="P67" s="192"/>
      <c r="Q67" s="103"/>
      <c r="R67" s="104"/>
      <c r="S67" s="96"/>
      <c r="T67" s="96"/>
      <c r="U67" s="96"/>
      <c r="V67" s="96"/>
      <c r="W67" s="96"/>
      <c r="X67" s="96"/>
      <c r="Y67" s="96"/>
      <c r="Z67" s="96"/>
      <c r="AA67" s="96"/>
      <c r="AB67" s="96"/>
      <c r="AC67" s="96"/>
      <c r="AD67" s="96"/>
      <c r="AE67" s="96"/>
      <c r="AF67" s="96"/>
      <c r="AG67" s="96"/>
      <c r="AH67" s="96"/>
      <c r="AI67" s="96"/>
      <c r="AJ67" s="96"/>
      <c r="AK67" s="96"/>
      <c r="AL67" s="96"/>
      <c r="AM67" s="97"/>
      <c r="AN67" s="193"/>
      <c r="AO67" s="97"/>
      <c r="AP67" s="96"/>
      <c r="AQ67" s="96"/>
      <c r="AR67" s="96"/>
      <c r="AS67" s="96"/>
      <c r="AT67" s="96"/>
      <c r="AU67" s="96"/>
      <c r="AV67" s="96"/>
      <c r="AW67" s="59"/>
      <c r="AX67" s="105"/>
    </row>
    <row r="68" customFormat="false" ht="14.25" hidden="false" customHeight="true" outlineLevel="0" collapsed="false">
      <c r="A68" s="96" t="s">
        <v>282</v>
      </c>
      <c r="B68" s="96"/>
      <c r="C68" s="96"/>
      <c r="D68" s="96"/>
      <c r="E68" s="96"/>
      <c r="F68" s="191"/>
      <c r="G68" s="98"/>
      <c r="H68" s="104"/>
      <c r="I68" s="97"/>
      <c r="J68" s="97"/>
      <c r="K68" s="110"/>
      <c r="L68" s="104"/>
      <c r="M68" s="101"/>
      <c r="N68" s="101"/>
      <c r="O68" s="101"/>
      <c r="P68" s="192"/>
      <c r="Q68" s="103"/>
      <c r="R68" s="104"/>
      <c r="S68" s="96"/>
      <c r="T68" s="96"/>
      <c r="U68" s="96"/>
      <c r="V68" s="96"/>
      <c r="W68" s="96"/>
      <c r="X68" s="96"/>
      <c r="Y68" s="96"/>
      <c r="Z68" s="96"/>
      <c r="AA68" s="96"/>
      <c r="AB68" s="96"/>
      <c r="AC68" s="96"/>
      <c r="AD68" s="96"/>
      <c r="AE68" s="96"/>
      <c r="AF68" s="96"/>
      <c r="AG68" s="96"/>
      <c r="AH68" s="96"/>
      <c r="AI68" s="96"/>
      <c r="AJ68" s="96"/>
      <c r="AK68" s="96"/>
      <c r="AL68" s="96"/>
      <c r="AM68" s="97"/>
      <c r="AN68" s="193"/>
      <c r="AO68" s="97"/>
      <c r="AP68" s="96"/>
      <c r="AQ68" s="96"/>
      <c r="AR68" s="96"/>
      <c r="AS68" s="96"/>
      <c r="AT68" s="96"/>
      <c r="AU68" s="96"/>
      <c r="AV68" s="96"/>
      <c r="AW68" s="59"/>
      <c r="AX68" s="105"/>
    </row>
    <row r="69" customFormat="false" ht="12.75" hidden="false" customHeight="true" outlineLevel="0" collapsed="false">
      <c r="A69" s="96" t="s">
        <v>283</v>
      </c>
      <c r="B69" s="96"/>
      <c r="C69" s="96"/>
      <c r="D69" s="96"/>
      <c r="E69" s="96"/>
      <c r="F69" s="191"/>
      <c r="G69" s="98"/>
      <c r="H69" s="104"/>
      <c r="I69" s="97"/>
      <c r="J69" s="97"/>
      <c r="K69" s="110"/>
      <c r="L69" s="104"/>
      <c r="M69" s="101"/>
      <c r="N69" s="101"/>
      <c r="O69" s="101"/>
      <c r="P69" s="192"/>
      <c r="Q69" s="103"/>
      <c r="R69" s="104"/>
      <c r="S69" s="96"/>
      <c r="T69" s="96"/>
      <c r="U69" s="96"/>
      <c r="V69" s="96"/>
      <c r="W69" s="96"/>
      <c r="X69" s="96"/>
      <c r="Y69" s="96"/>
      <c r="Z69" s="96"/>
      <c r="AA69" s="96"/>
      <c r="AB69" s="96"/>
      <c r="AC69" s="96"/>
      <c r="AD69" s="96"/>
      <c r="AE69" s="96"/>
      <c r="AF69" s="96"/>
      <c r="AG69" s="96"/>
      <c r="AH69" s="96"/>
      <c r="AI69" s="96"/>
      <c r="AJ69" s="96"/>
      <c r="AK69" s="96"/>
      <c r="AL69" s="96"/>
      <c r="AM69" s="97"/>
      <c r="AN69" s="193"/>
      <c r="AO69" s="97"/>
      <c r="AP69" s="96"/>
      <c r="AQ69" s="96"/>
      <c r="AR69" s="96"/>
      <c r="AS69" s="96"/>
      <c r="AT69" s="96"/>
      <c r="AU69" s="96"/>
      <c r="AV69" s="96"/>
      <c r="AW69" s="59"/>
      <c r="AX69" s="105"/>
    </row>
    <row r="70" customFormat="false" ht="12.75" hidden="false" customHeight="true" outlineLevel="0" collapsed="false">
      <c r="A70" s="202" t="s">
        <v>284</v>
      </c>
      <c r="B70" s="69" t="s">
        <v>211</v>
      </c>
      <c r="C70" s="69"/>
      <c r="D70" s="69" t="s">
        <v>103</v>
      </c>
      <c r="E70" s="61"/>
      <c r="F70" s="145"/>
      <c r="G70" s="94" t="s">
        <v>213</v>
      </c>
      <c r="H70" s="1" t="n">
        <v>635646.193</v>
      </c>
      <c r="I70" s="1" t="n">
        <v>3049208.383</v>
      </c>
      <c r="J70" s="1" t="n">
        <v>118.745</v>
      </c>
      <c r="K70" s="204"/>
      <c r="L70" s="84" t="n">
        <v>0.11</v>
      </c>
      <c r="M70" s="1" t="n">
        <v>633905.233</v>
      </c>
      <c r="N70" s="1" t="n">
        <v>3049240.448</v>
      </c>
      <c r="O70" s="1" t="n">
        <v>56.39</v>
      </c>
      <c r="P70" s="95" t="s">
        <v>106</v>
      </c>
      <c r="Q70" s="72" t="n">
        <v>0.66</v>
      </c>
      <c r="R70" s="73" t="n">
        <v>0.66</v>
      </c>
      <c r="S70" s="90" t="n">
        <v>90</v>
      </c>
      <c r="T70" s="203"/>
      <c r="U70" s="203" t="n">
        <v>0.63</v>
      </c>
      <c r="V70" s="203" t="n">
        <v>0.55</v>
      </c>
      <c r="W70" s="203" t="n">
        <v>0.62</v>
      </c>
      <c r="X70" s="203" t="n">
        <v>0.6</v>
      </c>
      <c r="Y70" s="203" t="n">
        <v>0.92</v>
      </c>
      <c r="Z70" s="203" t="n">
        <v>0.9</v>
      </c>
      <c r="AA70" s="203"/>
      <c r="AB70" s="203"/>
      <c r="AC70" s="203"/>
      <c r="AF70" s="203"/>
      <c r="AG70" s="203"/>
      <c r="AH70" s="203"/>
      <c r="AI70" s="203"/>
      <c r="AJ70" s="203"/>
      <c r="AK70" s="203"/>
      <c r="AL70" s="203"/>
      <c r="AM70" s="74" t="n">
        <f aca="false">AVERAGE(U70:AC70)</f>
        <v>0.703333333333333</v>
      </c>
      <c r="AN70" s="92" t="n">
        <v>3.67</v>
      </c>
      <c r="AO70" s="74"/>
      <c r="AP70" s="75"/>
      <c r="AQ70" s="73" t="n">
        <f aca="false">AN70-(AN70-Q70)*(SIN((S70+AX70)*PI()/180))/(COS(AX70*PI()/180))</f>
        <v>0.66</v>
      </c>
      <c r="AR70" s="84" t="n">
        <f aca="false">H70+($M$1-M70)-(AN70-Q70)*(COS(S70*PI()/180))*(SIN((T70+13+2.3)*PI()/180))</f>
        <v>635646.193</v>
      </c>
      <c r="AS70" s="84" t="n">
        <f aca="false">I70+($N$1-N70)-(AN70-Q70)*(COS(S70*PI()/180))*(COS((T70+13+2.3)*PI()/180))</f>
        <v>3049208.383</v>
      </c>
      <c r="AT70" s="84" t="n">
        <f aca="false">J70+($O$1-O70)-R70+AN70-(AN70-Q70)*(SIN(S70*PI()/180))-L70</f>
        <v>118.525</v>
      </c>
      <c r="AU70" s="69"/>
      <c r="AV70" s="79"/>
      <c r="AW70" s="59"/>
      <c r="AX70" s="80"/>
    </row>
    <row r="71" customFormat="false" ht="12.75" hidden="false" customHeight="true" outlineLevel="0" collapsed="false">
      <c r="A71" s="205" t="s">
        <v>285</v>
      </c>
      <c r="B71" s="96"/>
      <c r="C71" s="205"/>
      <c r="D71" s="96"/>
      <c r="E71" s="206"/>
      <c r="F71" s="207"/>
      <c r="G71" s="98"/>
      <c r="H71" s="104"/>
      <c r="I71" s="208"/>
      <c r="J71" s="208"/>
      <c r="K71" s="209"/>
      <c r="L71" s="166"/>
      <c r="M71" s="101"/>
      <c r="N71" s="101"/>
      <c r="O71" s="101"/>
      <c r="P71" s="210"/>
      <c r="Q71" s="103"/>
      <c r="R71" s="104"/>
      <c r="S71" s="96"/>
      <c r="T71" s="96"/>
      <c r="U71" s="96"/>
      <c r="V71" s="96"/>
      <c r="W71" s="96"/>
      <c r="X71" s="96"/>
      <c r="Y71" s="96"/>
      <c r="Z71" s="96"/>
      <c r="AA71" s="96"/>
      <c r="AB71" s="96"/>
      <c r="AC71" s="96"/>
      <c r="AD71" s="96"/>
      <c r="AE71" s="96"/>
      <c r="AF71" s="96"/>
      <c r="AG71" s="96"/>
      <c r="AH71" s="96"/>
      <c r="AI71" s="96"/>
      <c r="AJ71" s="96"/>
      <c r="AK71" s="96"/>
      <c r="AL71" s="96"/>
      <c r="AM71" s="97"/>
      <c r="AN71" s="107"/>
      <c r="AO71" s="97"/>
      <c r="AP71" s="109"/>
      <c r="AQ71" s="104"/>
      <c r="AR71" s="96"/>
      <c r="AS71" s="96"/>
      <c r="AT71" s="96"/>
      <c r="AU71" s="96"/>
      <c r="AV71" s="110"/>
      <c r="AW71" s="59"/>
      <c r="AX71" s="105"/>
    </row>
    <row r="72" customFormat="false" ht="12.75" hidden="false" customHeight="true" outlineLevel="0" collapsed="false">
      <c r="A72" s="96" t="s">
        <v>286</v>
      </c>
      <c r="B72" s="96"/>
      <c r="C72" s="96"/>
      <c r="D72" s="96"/>
      <c r="E72" s="96"/>
      <c r="F72" s="207"/>
      <c r="G72" s="98"/>
      <c r="H72" s="104"/>
      <c r="I72" s="97"/>
      <c r="J72" s="97"/>
      <c r="K72" s="110"/>
      <c r="L72" s="104"/>
      <c r="M72" s="101"/>
      <c r="N72" s="101"/>
      <c r="O72" s="101"/>
      <c r="P72" s="192"/>
      <c r="Q72" s="103"/>
      <c r="R72" s="104"/>
      <c r="S72" s="96"/>
      <c r="T72" s="96"/>
      <c r="U72" s="96"/>
      <c r="V72" s="96"/>
      <c r="W72" s="96"/>
      <c r="X72" s="96"/>
      <c r="Y72" s="96"/>
      <c r="Z72" s="96"/>
      <c r="AA72" s="96"/>
      <c r="AB72" s="96"/>
      <c r="AC72" s="96"/>
      <c r="AD72" s="96"/>
      <c r="AE72" s="96"/>
      <c r="AF72" s="96"/>
      <c r="AG72" s="96"/>
      <c r="AH72" s="96"/>
      <c r="AI72" s="96"/>
      <c r="AJ72" s="96"/>
      <c r="AK72" s="96"/>
      <c r="AL72" s="96"/>
      <c r="AM72" s="97"/>
      <c r="AN72" s="193"/>
      <c r="AO72" s="97"/>
      <c r="AP72" s="96"/>
      <c r="AQ72" s="96"/>
      <c r="AR72" s="96"/>
      <c r="AS72" s="96"/>
      <c r="AT72" s="96"/>
      <c r="AU72" s="96"/>
      <c r="AV72" s="96"/>
      <c r="AW72" s="59"/>
      <c r="AX72" s="105"/>
    </row>
    <row r="73" customFormat="false" ht="12.75" hidden="false" customHeight="true" outlineLevel="0" collapsed="false">
      <c r="A73" s="202" t="s">
        <v>287</v>
      </c>
      <c r="B73" s="69" t="s">
        <v>101</v>
      </c>
      <c r="C73" s="202"/>
      <c r="D73" s="69" t="s">
        <v>103</v>
      </c>
      <c r="E73" s="211"/>
      <c r="F73" s="212"/>
      <c r="G73" s="94" t="s">
        <v>104</v>
      </c>
      <c r="H73" s="1" t="n">
        <v>634373.583</v>
      </c>
      <c r="I73" s="1" t="n">
        <v>3047603.572</v>
      </c>
      <c r="J73" s="1" t="n">
        <v>309.021</v>
      </c>
      <c r="K73" s="79" t="s">
        <v>105</v>
      </c>
      <c r="L73" s="84" t="n">
        <v>0.11</v>
      </c>
      <c r="M73" s="1" t="n">
        <v>633905.233</v>
      </c>
      <c r="N73" s="1" t="n">
        <v>3049240.448</v>
      </c>
      <c r="O73" s="1" t="n">
        <v>56.39</v>
      </c>
      <c r="P73" s="89" t="s">
        <v>106</v>
      </c>
      <c r="Q73" s="72" t="n">
        <v>0.75</v>
      </c>
      <c r="R73" s="73" t="n">
        <v>0.75</v>
      </c>
      <c r="S73" s="90" t="n">
        <v>90</v>
      </c>
      <c r="T73" s="203"/>
      <c r="U73" s="203" t="n">
        <v>0.86</v>
      </c>
      <c r="V73" s="203" t="n">
        <v>1.19</v>
      </c>
      <c r="W73" s="203" t="n">
        <v>1.15</v>
      </c>
      <c r="X73" s="203" t="n">
        <v>0.85</v>
      </c>
      <c r="Y73" s="203" t="n">
        <v>1.26</v>
      </c>
      <c r="Z73" s="203" t="n">
        <v>1.14</v>
      </c>
      <c r="AA73" s="203" t="n">
        <v>1.18</v>
      </c>
      <c r="AB73" s="203" t="n">
        <v>1.18</v>
      </c>
      <c r="AC73" s="203" t="n">
        <v>1.15</v>
      </c>
      <c r="AD73" s="203"/>
      <c r="AE73" s="203"/>
      <c r="AF73" s="203"/>
      <c r="AG73" s="203"/>
      <c r="AH73" s="203"/>
      <c r="AI73" s="203"/>
      <c r="AJ73" s="203"/>
      <c r="AK73" s="203"/>
      <c r="AL73" s="203"/>
      <c r="AM73" s="74" t="n">
        <f aca="false">AVERAGE(U73:AC73)</f>
        <v>1.10666666666667</v>
      </c>
      <c r="AN73" s="92" t="n">
        <v>3.67</v>
      </c>
      <c r="AO73" s="74" t="s">
        <v>288</v>
      </c>
      <c r="AP73" s="75"/>
      <c r="AQ73" s="73" t="n">
        <f aca="false">AN73-(AN73-Q73)*(SIN((S73+AX73)*PI()/180))/(COS(AX73*PI()/180))</f>
        <v>0.75</v>
      </c>
      <c r="AR73" s="84" t="n">
        <f aca="false">H73+($M$1-M73)-(AN73-Q73)*(COS(S73*PI()/180))*(SIN((T73+13+2.3)*PI()/180))</f>
        <v>634373.583</v>
      </c>
      <c r="AS73" s="84" t="n">
        <f aca="false">I73+($N$1-N73)-(AN73-Q73)*(COS(S73*PI()/180))*(COS((T73+13+2.3)*PI()/180))</f>
        <v>3047603.572</v>
      </c>
      <c r="AT73" s="84" t="n">
        <f aca="false">J73+($O$1-O73)-R73+AN73-(AN73-Q73)*(SIN(S73*PI()/180))-L73</f>
        <v>308.801</v>
      </c>
      <c r="AU73" s="69"/>
      <c r="AV73" s="79"/>
      <c r="AW73" s="59"/>
      <c r="AX73" s="80"/>
    </row>
    <row r="74" s="1" customFormat="true" ht="12.75" hidden="false" customHeight="true" outlineLevel="0" collapsed="false">
      <c r="A74" s="202" t="s">
        <v>289</v>
      </c>
      <c r="B74" s="176" t="s">
        <v>254</v>
      </c>
      <c r="C74" s="202"/>
      <c r="D74" s="69" t="s">
        <v>103</v>
      </c>
      <c r="E74" s="211"/>
      <c r="F74" s="212"/>
      <c r="G74" s="179" t="s">
        <v>255</v>
      </c>
      <c r="H74" s="1" t="n">
        <v>634974.978</v>
      </c>
      <c r="I74" s="1" t="n">
        <v>3046707.239</v>
      </c>
      <c r="J74" s="1" t="n">
        <v>339.262</v>
      </c>
      <c r="K74" s="204" t="s">
        <v>105</v>
      </c>
      <c r="L74" s="84" t="n">
        <v>0.11</v>
      </c>
      <c r="M74" s="1" t="n">
        <v>633905.233</v>
      </c>
      <c r="N74" s="1" t="n">
        <v>3049240.448</v>
      </c>
      <c r="O74" s="1" t="n">
        <v>56.39</v>
      </c>
      <c r="P74" s="95" t="s">
        <v>106</v>
      </c>
      <c r="Q74" s="72" t="n">
        <v>0.315</v>
      </c>
      <c r="R74" s="73" t="n">
        <v>0.32</v>
      </c>
      <c r="S74" s="80" t="n">
        <v>90</v>
      </c>
      <c r="T74" s="203"/>
      <c r="U74" s="203" t="n">
        <v>0.15</v>
      </c>
      <c r="V74" s="203" t="n">
        <v>0.13</v>
      </c>
      <c r="W74" s="203" t="n">
        <v>0.14</v>
      </c>
      <c r="X74" s="203" t="n">
        <v>0.15</v>
      </c>
      <c r="Y74" s="203" t="n">
        <v>0.14</v>
      </c>
      <c r="Z74" s="203" t="n">
        <v>0.14</v>
      </c>
      <c r="AA74" s="203"/>
      <c r="AB74" s="203"/>
      <c r="AC74" s="203"/>
      <c r="AD74" s="203"/>
      <c r="AE74" s="203"/>
      <c r="AF74" s="203"/>
      <c r="AG74" s="203"/>
      <c r="AH74" s="203"/>
      <c r="AI74" s="203"/>
      <c r="AJ74" s="203"/>
      <c r="AK74" s="203"/>
      <c r="AL74" s="203"/>
      <c r="AM74" s="74" t="n">
        <f aca="false">AVERAGE(U74:AC74)</f>
        <v>0.141666666666667</v>
      </c>
      <c r="AN74" s="213" t="n">
        <v>3.67</v>
      </c>
      <c r="AO74" s="74"/>
      <c r="AP74" s="75"/>
      <c r="AQ74" s="73" t="n">
        <f aca="false">AN74-(AN74-Q74)*(SIN((S74+AX74)*PI()/180))/(COS(AX74*PI()/180))</f>
        <v>0.315</v>
      </c>
      <c r="AR74" s="84" t="n">
        <f aca="false">H74+($M$1-M74)-(AN74-Q74)*(COS(S74*PI()/180))*(SIN((T74+13+2.3)*PI()/180))</f>
        <v>634974.978</v>
      </c>
      <c r="AS74" s="84" t="n">
        <f aca="false">I74+($N$1-N74)-(AN74-Q74)*(COS(S74*PI()/180))*(COS((T74+13+2.3)*PI()/180))</f>
        <v>3046707.239</v>
      </c>
      <c r="AT74" s="84" t="n">
        <f aca="false">J74+($O$1-O74)-R74+AN74-(AN74-Q74)*(SIN(S74*PI()/180))-L74</f>
        <v>339.037</v>
      </c>
      <c r="AU74" s="69"/>
      <c r="AV74" s="79"/>
      <c r="AW74" s="59"/>
      <c r="AX74" s="80"/>
    </row>
    <row r="75" customFormat="false" ht="12.75" hidden="false" customHeight="true" outlineLevel="0" collapsed="false">
      <c r="A75" s="202" t="s">
        <v>290</v>
      </c>
      <c r="B75" s="69" t="s">
        <v>113</v>
      </c>
      <c r="C75" s="69"/>
      <c r="D75" s="69" t="s">
        <v>103</v>
      </c>
      <c r="E75" s="61"/>
      <c r="F75" s="145"/>
      <c r="G75" s="94" t="s">
        <v>114</v>
      </c>
      <c r="H75" s="1" t="n">
        <v>636149.586</v>
      </c>
      <c r="I75" s="1" t="n">
        <v>3048361.094</v>
      </c>
      <c r="J75" s="1" t="n">
        <v>214.036</v>
      </c>
      <c r="K75" s="79" t="s">
        <v>105</v>
      </c>
      <c r="L75" s="84" t="n">
        <v>0</v>
      </c>
      <c r="M75" s="1" t="n">
        <v>633905.233</v>
      </c>
      <c r="N75" s="1" t="n">
        <v>3049240.448</v>
      </c>
      <c r="O75" s="1" t="n">
        <v>56.39</v>
      </c>
      <c r="P75" s="95" t="s">
        <v>171</v>
      </c>
      <c r="Q75" s="72" t="n">
        <v>0.51</v>
      </c>
      <c r="R75" s="73" t="n">
        <v>1.33</v>
      </c>
      <c r="S75" s="90" t="n">
        <v>90</v>
      </c>
      <c r="T75" s="203"/>
      <c r="U75" s="203" t="n">
        <v>1.2</v>
      </c>
      <c r="V75" s="203" t="n">
        <v>1.12</v>
      </c>
      <c r="W75" s="203" t="n">
        <v>1.21</v>
      </c>
      <c r="X75" s="203" t="n">
        <v>1.12</v>
      </c>
      <c r="Y75" s="203" t="n">
        <v>1.11</v>
      </c>
      <c r="Z75" s="203" t="n">
        <v>1.21</v>
      </c>
      <c r="AA75" s="203" t="n">
        <v>1.08</v>
      </c>
      <c r="AB75" s="203" t="n">
        <v>1.16</v>
      </c>
      <c r="AC75" s="203" t="n">
        <v>1.26</v>
      </c>
      <c r="AD75" s="203"/>
      <c r="AE75" s="203"/>
      <c r="AF75" s="203"/>
      <c r="AG75" s="203"/>
      <c r="AH75" s="203"/>
      <c r="AI75" s="203"/>
      <c r="AJ75" s="203"/>
      <c r="AK75" s="203"/>
      <c r="AL75" s="203"/>
      <c r="AM75" s="74" t="n">
        <f aca="false">AVERAGE(U75:AC75)</f>
        <v>1.16333333333333</v>
      </c>
      <c r="AN75" s="92" t="n">
        <v>3.67</v>
      </c>
      <c r="AO75" s="74"/>
      <c r="AP75" s="75"/>
      <c r="AQ75" s="73" t="n">
        <f aca="false">AN75-(AN75-Q75)*(SIN((S75+AX75)*PI()/180))/(COS(AX75*PI()/180))</f>
        <v>0.51</v>
      </c>
      <c r="AR75" s="84" t="n">
        <f aca="false">H75+($M$1-M75)-(AN75-Q75)*(COS(S75*PI()/180))*(SIN((T75+13+2.3)*PI()/180))</f>
        <v>636149.586</v>
      </c>
      <c r="AS75" s="84" t="n">
        <f aca="false">I75+($N$1-N75)-(AN75-Q75)*(COS(S75*PI()/180))*(COS((T75+13+2.3)*PI()/180))</f>
        <v>3048361.094</v>
      </c>
      <c r="AT75" s="84" t="n">
        <f aca="false">J75+($O$1-O75)-R75+AN75-(AN75-Q75)*(SIN(S75*PI()/180))-L75</f>
        <v>213.106</v>
      </c>
      <c r="AU75" s="69"/>
      <c r="AV75" s="79"/>
      <c r="AW75" s="59"/>
      <c r="AX75" s="80"/>
    </row>
    <row r="76" customFormat="false" ht="12.75" hidden="false" customHeight="true" outlineLevel="0" collapsed="false">
      <c r="A76" s="202" t="s">
        <v>291</v>
      </c>
      <c r="B76" s="69" t="s">
        <v>113</v>
      </c>
      <c r="C76" s="202"/>
      <c r="D76" s="69" t="s">
        <v>103</v>
      </c>
      <c r="E76" s="211"/>
      <c r="F76" s="212"/>
      <c r="G76" s="94" t="s">
        <v>114</v>
      </c>
      <c r="H76" s="1" t="n">
        <v>636756.683</v>
      </c>
      <c r="I76" s="1" t="n">
        <v>3049586.272</v>
      </c>
      <c r="J76" s="1" t="n">
        <v>269.67</v>
      </c>
      <c r="K76" s="79" t="s">
        <v>105</v>
      </c>
      <c r="L76" s="84" t="n">
        <v>0.11</v>
      </c>
      <c r="M76" s="1" t="n">
        <v>633905.233</v>
      </c>
      <c r="N76" s="1" t="n">
        <v>3049240.448</v>
      </c>
      <c r="O76" s="1" t="n">
        <v>56.39</v>
      </c>
      <c r="P76" s="95" t="s">
        <v>106</v>
      </c>
      <c r="Q76" s="72" t="n">
        <v>0.93</v>
      </c>
      <c r="R76" s="73" t="n">
        <v>0.93</v>
      </c>
      <c r="S76" s="90" t="n">
        <v>90</v>
      </c>
      <c r="T76" s="203"/>
      <c r="U76" s="203" t="n">
        <v>1.08</v>
      </c>
      <c r="V76" s="203" t="n">
        <v>1.12</v>
      </c>
      <c r="W76" s="203" t="n">
        <v>1.06</v>
      </c>
      <c r="X76" s="203" t="n">
        <v>1.11</v>
      </c>
      <c r="Y76" s="203" t="n">
        <v>1.13</v>
      </c>
      <c r="Z76" s="203" t="n">
        <v>1.16</v>
      </c>
      <c r="AA76" s="203" t="n">
        <v>1.12</v>
      </c>
      <c r="AB76" s="203" t="n">
        <v>1.13</v>
      </c>
      <c r="AC76" s="203"/>
      <c r="AD76" s="203"/>
      <c r="AE76" s="203"/>
      <c r="AF76" s="203"/>
      <c r="AG76" s="203"/>
      <c r="AH76" s="203"/>
      <c r="AI76" s="203"/>
      <c r="AJ76" s="203"/>
      <c r="AK76" s="203"/>
      <c r="AL76" s="203"/>
      <c r="AM76" s="74" t="n">
        <f aca="false">AVERAGE(U76:AC76)</f>
        <v>1.11375</v>
      </c>
      <c r="AN76" s="92" t="n">
        <v>3.67</v>
      </c>
      <c r="AO76" s="74"/>
      <c r="AP76" s="75"/>
      <c r="AQ76" s="73" t="n">
        <f aca="false">AN76-(AN76-Q76)*(SIN((S76+AX76)*PI()/180))/(COS(AX76*PI()/180))</f>
        <v>0.93</v>
      </c>
      <c r="AR76" s="84" t="n">
        <f aca="false">H76+($M$1-M76)-(AN76-Q76)*(COS(S76*PI()/180))*(SIN((T76+13+2.3)*PI()/180))</f>
        <v>636756.683</v>
      </c>
      <c r="AS76" s="84" t="n">
        <f aca="false">I76+($N$1-N76)-(AN76-Q76)*(COS(S76*PI()/180))*(COS((T76+13+2.3)*PI()/180))</f>
        <v>3049586.272</v>
      </c>
      <c r="AT76" s="84" t="n">
        <f aca="false">J76+($O$1-O76)-R76+AN76-(AN76-Q76)*(SIN(S76*PI()/180))-L76</f>
        <v>269.45</v>
      </c>
      <c r="AU76" s="69"/>
      <c r="AV76" s="79"/>
      <c r="AW76" s="59"/>
      <c r="AX76" s="80"/>
    </row>
    <row r="77" customFormat="false" ht="12.75" hidden="false" customHeight="true" outlineLevel="0" collapsed="false">
      <c r="A77" s="202" t="s">
        <v>292</v>
      </c>
      <c r="B77" s="69" t="s">
        <v>211</v>
      </c>
      <c r="C77" s="202"/>
      <c r="D77" s="69" t="s">
        <v>103</v>
      </c>
      <c r="E77" s="211"/>
      <c r="F77" s="212"/>
      <c r="G77" s="94" t="s">
        <v>213</v>
      </c>
      <c r="H77" s="1" t="n">
        <v>635428.048</v>
      </c>
      <c r="I77" s="1" t="n">
        <v>3048855.672</v>
      </c>
      <c r="J77" s="1" t="n">
        <v>134.484</v>
      </c>
      <c r="K77" s="79" t="s">
        <v>105</v>
      </c>
      <c r="L77" s="84" t="n">
        <v>0.11</v>
      </c>
      <c r="M77" s="1" t="n">
        <v>633905.233</v>
      </c>
      <c r="N77" s="1" t="n">
        <v>3049240.448</v>
      </c>
      <c r="O77" s="1" t="n">
        <v>56.39</v>
      </c>
      <c r="P77" s="95" t="s">
        <v>106</v>
      </c>
      <c r="Q77" s="72" t="n">
        <v>1.85</v>
      </c>
      <c r="R77" s="73" t="n">
        <v>1.85</v>
      </c>
      <c r="S77" s="90" t="n">
        <v>90</v>
      </c>
      <c r="T77" s="203"/>
      <c r="U77" s="203" t="n">
        <v>0.27</v>
      </c>
      <c r="V77" s="203" t="n">
        <v>0.27</v>
      </c>
      <c r="W77" s="203" t="n">
        <v>0.26</v>
      </c>
      <c r="X77" s="203" t="n">
        <v>0.29</v>
      </c>
      <c r="Y77" s="203" t="n">
        <v>0.25</v>
      </c>
      <c r="Z77" s="203" t="n">
        <v>0.28</v>
      </c>
      <c r="AA77" s="203" t="n">
        <v>0.28</v>
      </c>
      <c r="AB77" s="203"/>
      <c r="AC77" s="203"/>
      <c r="AD77" s="203"/>
      <c r="AE77" s="203"/>
      <c r="AF77" s="203"/>
      <c r="AG77" s="203"/>
      <c r="AH77" s="203"/>
      <c r="AI77" s="203"/>
      <c r="AJ77" s="203"/>
      <c r="AK77" s="203"/>
      <c r="AL77" s="203"/>
      <c r="AM77" s="74" t="n">
        <f aca="false">AVERAGE(U77:AC77)</f>
        <v>0.271428571428571</v>
      </c>
      <c r="AN77" s="92" t="n">
        <v>3.67</v>
      </c>
      <c r="AO77" s="74"/>
      <c r="AP77" s="75"/>
      <c r="AQ77" s="73" t="n">
        <f aca="false">AN77-(AN77-Q77)*(SIN((S77+AX77)*PI()/180))/(COS(AX77*PI()/180))</f>
        <v>1.85</v>
      </c>
      <c r="AR77" s="84" t="n">
        <f aca="false">H77+($M$1-M77)-(AN77-Q77)*(COS(S77*PI()/180))*(SIN((T77+13+2.3)*PI()/180))</f>
        <v>635428.048</v>
      </c>
      <c r="AS77" s="84" t="n">
        <f aca="false">I77+($N$1-N77)-(AN77-Q77)*(COS(S77*PI()/180))*(COS((T77+13+2.3)*PI()/180))</f>
        <v>3048855.672</v>
      </c>
      <c r="AT77" s="84" t="n">
        <f aca="false">J77+($O$1-O77)-R77+AN77-(AN77-Q77)*(SIN(S77*PI()/180))-L77</f>
        <v>134.264</v>
      </c>
      <c r="AU77" s="69"/>
      <c r="AV77" s="79"/>
      <c r="AW77" s="59"/>
      <c r="AX77" s="80"/>
    </row>
    <row r="78" customFormat="false" ht="12.75" hidden="false" customHeight="true" outlineLevel="0" collapsed="false">
      <c r="A78" s="202" t="s">
        <v>293</v>
      </c>
      <c r="B78" s="69" t="s">
        <v>211</v>
      </c>
      <c r="C78" s="202"/>
      <c r="D78" s="69" t="s">
        <v>103</v>
      </c>
      <c r="E78" s="211"/>
      <c r="F78" s="212"/>
      <c r="G78" s="94" t="s">
        <v>213</v>
      </c>
      <c r="H78" s="1" t="n">
        <v>635174.978</v>
      </c>
      <c r="I78" s="1" t="n">
        <v>3048879.03</v>
      </c>
      <c r="J78" s="1" t="n">
        <v>128.869</v>
      </c>
      <c r="K78" s="79" t="s">
        <v>105</v>
      </c>
      <c r="L78" s="84" t="n">
        <v>0.11</v>
      </c>
      <c r="M78" s="1" t="n">
        <v>633905.233</v>
      </c>
      <c r="N78" s="1" t="n">
        <v>3049240.448</v>
      </c>
      <c r="O78" s="1" t="n">
        <v>56.39</v>
      </c>
      <c r="P78" s="95" t="s">
        <v>106</v>
      </c>
      <c r="Q78" s="72" t="n">
        <v>2.18</v>
      </c>
      <c r="R78" s="73" t="n">
        <v>2.18</v>
      </c>
      <c r="S78" s="90" t="n">
        <v>90</v>
      </c>
      <c r="T78" s="203"/>
      <c r="U78" s="203"/>
      <c r="V78" s="203"/>
      <c r="W78" s="203"/>
      <c r="X78" s="203"/>
      <c r="Y78" s="203"/>
      <c r="Z78" s="203"/>
      <c r="AA78" s="203"/>
      <c r="AB78" s="203"/>
      <c r="AC78" s="203"/>
      <c r="AD78" s="203"/>
      <c r="AE78" s="203"/>
      <c r="AF78" s="203"/>
      <c r="AG78" s="203"/>
      <c r="AH78" s="203"/>
      <c r="AI78" s="203"/>
      <c r="AJ78" s="203"/>
      <c r="AK78" s="203"/>
      <c r="AL78" s="203"/>
      <c r="AM78" s="74" t="e">
        <f aca="false">AVERAGE(U78:AC78)</f>
        <v>#DIV/0!</v>
      </c>
      <c r="AN78" s="92" t="n">
        <v>3.67</v>
      </c>
      <c r="AO78" s="77"/>
      <c r="AP78" s="75"/>
      <c r="AQ78" s="73" t="n">
        <f aca="false">AN78-(AN78-Q78)*(SIN((S78+AX78)*PI()/180))/(COS(AX78*PI()/180))</f>
        <v>2.18</v>
      </c>
      <c r="AR78" s="84" t="n">
        <f aca="false">H78+($M$1-M78)-(AN78-Q78)*(COS(S78*PI()/180))*(SIN((T78+13+2.3)*PI()/180))</f>
        <v>635174.978</v>
      </c>
      <c r="AS78" s="84" t="n">
        <f aca="false">I78+($N$1-N78)-(AN78-Q78)*(COS(S78*PI()/180))*(COS((T78+13+2.3)*PI()/180))</f>
        <v>3048879.03</v>
      </c>
      <c r="AT78" s="84" t="n">
        <f aca="false">J78+($O$1-O78)-R78+AN78-(AN78-Q78)*(SIN(S78*PI()/180))-L78</f>
        <v>128.649</v>
      </c>
      <c r="AU78" s="69"/>
      <c r="AV78" s="79"/>
      <c r="AW78" s="59"/>
      <c r="AX78" s="80"/>
    </row>
    <row r="79" customFormat="false" ht="12.75" hidden="false" customHeight="true" outlineLevel="0" collapsed="false">
      <c r="A79" s="202" t="s">
        <v>294</v>
      </c>
      <c r="B79" s="69" t="s">
        <v>211</v>
      </c>
      <c r="C79" s="69"/>
      <c r="D79" s="69" t="s">
        <v>103</v>
      </c>
      <c r="E79" s="61"/>
      <c r="F79" s="145"/>
      <c r="G79" s="94" t="s">
        <v>213</v>
      </c>
      <c r="H79" s="1" t="n">
        <v>635801.177</v>
      </c>
      <c r="I79" s="1" t="n">
        <v>3049321.626</v>
      </c>
      <c r="J79" s="1" t="n">
        <v>166.824</v>
      </c>
      <c r="K79" s="79" t="s">
        <v>105</v>
      </c>
      <c r="L79" s="84" t="n">
        <v>0.11</v>
      </c>
      <c r="M79" s="1" t="n">
        <v>633905.233</v>
      </c>
      <c r="N79" s="1" t="n">
        <v>3049240.448</v>
      </c>
      <c r="O79" s="1" t="n">
        <v>56.39</v>
      </c>
      <c r="P79" s="95" t="s">
        <v>106</v>
      </c>
      <c r="Q79" s="72" t="n">
        <v>1.67</v>
      </c>
      <c r="R79" s="73" t="n">
        <v>1.67</v>
      </c>
      <c r="S79" s="90" t="n">
        <v>90</v>
      </c>
      <c r="T79" s="203"/>
      <c r="U79" s="203" t="n">
        <v>0.39</v>
      </c>
      <c r="V79" s="203" t="n">
        <v>0.59</v>
      </c>
      <c r="W79" s="203" t="n">
        <v>0.4</v>
      </c>
      <c r="X79" s="203" t="n">
        <v>0.38</v>
      </c>
      <c r="Y79" s="203" t="n">
        <v>0.52</v>
      </c>
      <c r="Z79" s="203" t="n">
        <v>0.54</v>
      </c>
      <c r="AA79" s="93"/>
      <c r="AB79" s="93"/>
      <c r="AC79" s="203"/>
      <c r="AD79" s="203"/>
      <c r="AE79" s="203"/>
      <c r="AF79" s="203"/>
      <c r="AG79" s="203"/>
      <c r="AH79" s="203"/>
      <c r="AI79" s="203"/>
      <c r="AJ79" s="203"/>
      <c r="AK79" s="203"/>
      <c r="AL79" s="203"/>
      <c r="AM79" s="74" t="n">
        <f aca="false">AVERAGE(U79:AC79)</f>
        <v>0.47</v>
      </c>
      <c r="AN79" s="92" t="n">
        <v>3.67</v>
      </c>
      <c r="AO79" s="74"/>
      <c r="AP79" s="75"/>
      <c r="AQ79" s="73" t="n">
        <f aca="false">AN79-(AN79-Q79)*(SIN((S79+AX79)*PI()/180))/(COS(AX79*PI()/180))</f>
        <v>1.67</v>
      </c>
      <c r="AR79" s="84" t="n">
        <f aca="false">H79+($M$1-M79)-(AN79-Q79)*(COS(S79*PI()/180))*(SIN((T79+13+2.3)*PI()/180))</f>
        <v>635801.177</v>
      </c>
      <c r="AS79" s="84" t="n">
        <f aca="false">I79+($N$1-N79)-(AN79-Q79)*(COS(S79*PI()/180))*(COS((T79+13+2.3)*PI()/180))</f>
        <v>3049321.626</v>
      </c>
      <c r="AT79" s="84" t="n">
        <f aca="false">J79+($O$1-O79)-R79+AN79-(AN79-Q79)*(SIN(S79*PI()/180))-L79</f>
        <v>166.604</v>
      </c>
      <c r="AU79" s="69"/>
      <c r="AV79" s="79"/>
      <c r="AW79" s="59"/>
      <c r="AX79" s="80"/>
    </row>
    <row r="80" customFormat="false" ht="12.75" hidden="false" customHeight="true" outlineLevel="0" collapsed="false">
      <c r="A80" s="202" t="s">
        <v>295</v>
      </c>
      <c r="B80" s="69" t="s">
        <v>211</v>
      </c>
      <c r="C80" s="69"/>
      <c r="D80" s="69" t="s">
        <v>103</v>
      </c>
      <c r="E80" s="61"/>
      <c r="F80" s="145"/>
      <c r="G80" s="94" t="s">
        <v>213</v>
      </c>
      <c r="H80" s="1" t="n">
        <v>635555.373</v>
      </c>
      <c r="I80" s="1" t="n">
        <v>3048964.112</v>
      </c>
      <c r="J80" s="1" t="n">
        <v>142.612</v>
      </c>
      <c r="K80" s="79" t="s">
        <v>105</v>
      </c>
      <c r="L80" s="84" t="n">
        <v>0.11</v>
      </c>
      <c r="M80" s="1" t="n">
        <v>633905.233</v>
      </c>
      <c r="N80" s="1" t="n">
        <v>3049240.448</v>
      </c>
      <c r="O80" s="1" t="n">
        <v>56.39</v>
      </c>
      <c r="P80" s="95" t="s">
        <v>106</v>
      </c>
      <c r="Q80" s="72" t="n">
        <v>2.14</v>
      </c>
      <c r="R80" s="73" t="n">
        <v>2.14</v>
      </c>
      <c r="S80" s="90" t="n">
        <v>90</v>
      </c>
      <c r="T80" s="203"/>
      <c r="U80" s="203"/>
      <c r="V80" s="203"/>
      <c r="W80" s="203"/>
      <c r="X80" s="203"/>
      <c r="Y80" s="203"/>
      <c r="Z80" s="203"/>
      <c r="AA80" s="93"/>
      <c r="AB80" s="93"/>
      <c r="AC80" s="203"/>
      <c r="AD80" s="203"/>
      <c r="AE80" s="203"/>
      <c r="AF80" s="203"/>
      <c r="AG80" s="203"/>
      <c r="AH80" s="203"/>
      <c r="AI80" s="203"/>
      <c r="AJ80" s="203"/>
      <c r="AK80" s="203"/>
      <c r="AL80" s="203"/>
      <c r="AM80" s="74" t="e">
        <f aca="false">AVERAGE(U80:AC80)</f>
        <v>#DIV/0!</v>
      </c>
      <c r="AN80" s="92" t="n">
        <v>3.67</v>
      </c>
      <c r="AO80" s="74"/>
      <c r="AP80" s="75"/>
      <c r="AQ80" s="73" t="n">
        <f aca="false">AN80-(AN80-Q80)*(SIN((S80+AX80)*PI()/180))/(COS(AX80*PI()/180))</f>
        <v>2.14</v>
      </c>
      <c r="AR80" s="84" t="n">
        <f aca="false">H80+($M$1-M80)-(AN80-Q80)*(COS(S80*PI()/180))*(SIN((T80+13+2.3)*PI()/180))</f>
        <v>635555.373</v>
      </c>
      <c r="AS80" s="84" t="n">
        <f aca="false">I80+($N$1-N80)-(AN80-Q80)*(COS(S80*PI()/180))*(COS((T80+13+2.3)*PI()/180))</f>
        <v>3048964.112</v>
      </c>
      <c r="AT80" s="84" t="n">
        <f aca="false">J80+($O$1-O80)-R80+AN80-(AN80-Q80)*(SIN(S80*PI()/180))-L80</f>
        <v>142.392</v>
      </c>
      <c r="AU80" s="69"/>
      <c r="AV80" s="79"/>
      <c r="AW80" s="59"/>
      <c r="AX80" s="80"/>
    </row>
    <row r="81" customFormat="false" ht="12.75" hidden="false" customHeight="true" outlineLevel="0" collapsed="false">
      <c r="A81" s="60" t="s">
        <v>296</v>
      </c>
      <c r="B81" s="69" t="s">
        <v>101</v>
      </c>
      <c r="C81" s="60"/>
      <c r="D81" s="60" t="s">
        <v>103</v>
      </c>
      <c r="E81" s="214"/>
      <c r="F81" s="81"/>
      <c r="G81" s="215" t="s">
        <v>104</v>
      </c>
      <c r="H81" s="1" t="n">
        <v>636262.41</v>
      </c>
      <c r="I81" s="1" t="n">
        <v>3047651.561</v>
      </c>
      <c r="J81" s="1" t="n">
        <v>216.982</v>
      </c>
      <c r="K81" s="79" t="s">
        <v>105</v>
      </c>
      <c r="L81" s="84" t="n">
        <v>0.11</v>
      </c>
      <c r="M81" s="1" t="n">
        <v>633905.233</v>
      </c>
      <c r="N81" s="1" t="n">
        <v>3049240.448</v>
      </c>
      <c r="O81" s="1" t="n">
        <v>56.39</v>
      </c>
      <c r="P81" s="89" t="s">
        <v>106</v>
      </c>
      <c r="Q81" s="93" t="n">
        <v>1.24</v>
      </c>
      <c r="R81" s="93" t="n">
        <v>1.24</v>
      </c>
      <c r="S81" s="90" t="n">
        <v>90</v>
      </c>
      <c r="T81" s="93"/>
      <c r="U81" s="93" t="n">
        <v>1.43</v>
      </c>
      <c r="V81" s="93" t="n">
        <v>1</v>
      </c>
      <c r="W81" s="93" t="n">
        <v>0.98</v>
      </c>
      <c r="X81" s="93" t="n">
        <v>1.02</v>
      </c>
      <c r="Y81" s="93" t="n">
        <v>1.43</v>
      </c>
      <c r="Z81" s="93" t="n">
        <v>0.95</v>
      </c>
      <c r="AA81" s="93" t="n">
        <v>1.31</v>
      </c>
      <c r="AB81" s="93" t="n">
        <v>1.52</v>
      </c>
      <c r="AC81" s="93" t="n">
        <v>1.03</v>
      </c>
      <c r="AD81" s="93" t="n">
        <v>1.08</v>
      </c>
      <c r="AE81" s="93"/>
      <c r="AF81" s="93"/>
      <c r="AG81" s="93"/>
      <c r="AH81" s="93"/>
      <c r="AI81" s="93"/>
      <c r="AJ81" s="93"/>
      <c r="AK81" s="93"/>
      <c r="AL81" s="93"/>
      <c r="AM81" s="74" t="n">
        <f aca="false">AVERAGE(U81:AC81)</f>
        <v>1.18555555555556</v>
      </c>
      <c r="AN81" s="92" t="n">
        <v>3.67</v>
      </c>
      <c r="AO81" s="93"/>
      <c r="AP81" s="93"/>
      <c r="AQ81" s="73" t="n">
        <f aca="false">AN81-(AN81-Q81)*(SIN((S81+AX81)*PI()/180))/(COS(AX81*PI()/180))</f>
        <v>1.24</v>
      </c>
      <c r="AR81" s="84" t="n">
        <f aca="false">H81+($M$1-M81)-(AN81-Q81)*(COS(S81*PI()/180))*(SIN((T81+13+2.3)*PI()/180))</f>
        <v>636262.41</v>
      </c>
      <c r="AS81" s="84" t="n">
        <f aca="false">I81+($N$1-N81)-(AN81-Q81)*(COS(S81*PI()/180))*(COS((T81+13+2.3)*PI()/180))</f>
        <v>3047651.561</v>
      </c>
      <c r="AT81" s="84" t="n">
        <f aca="false">J81+($O$1-O81)-R81+AN81-(AN81-Q81)*(SIN(S81*PI()/180))-L81</f>
        <v>216.762</v>
      </c>
      <c r="AV81" s="216" t="s">
        <v>297</v>
      </c>
      <c r="AW81" s="59"/>
      <c r="AX81" s="93"/>
    </row>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true" verticalCentered="true"/>
  <pageMargins left="0.315277777777778" right="0.315277777777778" top="1" bottom="1"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X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0" topLeftCell="B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5" min="1" style="1" width="9.44"/>
    <col collapsed="false" customWidth="true" hidden="false" outlineLevel="0" max="6" min="6" style="1" width="9.2"/>
    <col collapsed="false" customWidth="true" hidden="false" outlineLevel="0" max="7" min="7" style="1" width="15.44"/>
    <col collapsed="false" customWidth="true" hidden="false" outlineLevel="0" max="8" min="8" style="1" width="11.99"/>
    <col collapsed="false" customWidth="true" hidden="false" outlineLevel="0" max="9" min="9" style="1" width="15.22"/>
    <col collapsed="false" customWidth="true" hidden="false" outlineLevel="0" max="10" min="10" style="1" width="11.99"/>
    <col collapsed="false" customWidth="true" hidden="false" outlineLevel="0" max="11" min="11" style="1" width="7.11"/>
    <col collapsed="false" customWidth="true" hidden="false" outlineLevel="0" max="12" min="12" style="1" width="8.87"/>
    <col collapsed="false" customWidth="true" hidden="false" outlineLevel="0" max="13" min="13" style="1" width="11.99"/>
    <col collapsed="false" customWidth="true" hidden="false" outlineLevel="0" max="14" min="14" style="1" width="16.89"/>
    <col collapsed="false" customWidth="true" hidden="false" outlineLevel="0" max="15" min="15" style="1" width="11.99"/>
    <col collapsed="false" customWidth="true" hidden="false" outlineLevel="0" max="16" min="16" style="1" width="30.43"/>
    <col collapsed="false" customWidth="true" hidden="false" outlineLevel="0" max="20" min="17" style="1" width="6.43"/>
    <col collapsed="false" customWidth="true" hidden="false" outlineLevel="0" max="21" min="21" style="1" width="5.78"/>
    <col collapsed="false" customWidth="true" hidden="false" outlineLevel="0" max="38" min="22" style="1" width="4.44"/>
    <col collapsed="false" customWidth="true" hidden="false" outlineLevel="0" max="39" min="39" style="1" width="7.44"/>
    <col collapsed="false" customWidth="true" hidden="false" outlineLevel="0" max="40" min="40" style="1" width="6.43"/>
    <col collapsed="false" customWidth="true" hidden="false" outlineLevel="0" max="42" min="41" style="1" width="30.43"/>
    <col collapsed="false" customWidth="true" hidden="false" outlineLevel="0" max="43" min="43" style="1" width="6.43"/>
    <col collapsed="false" customWidth="true" hidden="false" outlineLevel="0" max="46" min="44" style="1" width="11.99"/>
    <col collapsed="false" customWidth="true" hidden="false" outlineLevel="0" max="47" min="47" style="1" width="6.43"/>
    <col collapsed="false" customWidth="true" hidden="false" outlineLevel="0" max="48" min="48" style="1" width="30.43"/>
    <col collapsed="false" customWidth="true" hidden="false" outlineLevel="0" max="50" min="49" style="1" width="6.43"/>
    <col collapsed="false" customWidth="true" hidden="false" outlineLevel="0" max="1025" min="51" style="1" width="12.67"/>
  </cols>
  <sheetData>
    <row r="1" customFormat="false" ht="12.75" hidden="false" customHeight="true" outlineLevel="0" collapsed="false">
      <c r="A1" s="14" t="s">
        <v>42</v>
      </c>
      <c r="B1" s="15" t="s">
        <v>43</v>
      </c>
      <c r="C1" s="16" t="s">
        <v>44</v>
      </c>
      <c r="D1" s="17" t="s">
        <v>45</v>
      </c>
      <c r="E1" s="18" t="s">
        <v>46</v>
      </c>
      <c r="F1" s="217" t="s">
        <v>47</v>
      </c>
      <c r="G1" s="20" t="s">
        <v>48</v>
      </c>
      <c r="H1" s="21" t="s">
        <v>49</v>
      </c>
      <c r="I1" s="22"/>
      <c r="J1" s="23"/>
      <c r="K1" s="24"/>
      <c r="L1" s="25" t="s">
        <v>50</v>
      </c>
      <c r="M1" s="26" t="n">
        <v>633905.233</v>
      </c>
      <c r="N1" s="26" t="n">
        <v>3049240.448</v>
      </c>
      <c r="O1" s="26" t="n">
        <f aca="false">56.39-0.11</f>
        <v>56.28</v>
      </c>
      <c r="P1" s="126" t="s">
        <v>298</v>
      </c>
      <c r="Q1" s="127"/>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32"/>
      <c r="AV1" s="33"/>
      <c r="AW1" s="60"/>
      <c r="AX1" s="29"/>
    </row>
    <row r="2" customFormat="false" ht="12.75" hidden="false" customHeight="true" outlineLevel="0" collapsed="false">
      <c r="A2" s="34" t="s">
        <v>52</v>
      </c>
      <c r="B2" s="35" t="s">
        <v>53</v>
      </c>
      <c r="C2" s="36" t="s">
        <v>54</v>
      </c>
      <c r="D2" s="35" t="s">
        <v>55</v>
      </c>
      <c r="E2" s="37" t="s">
        <v>56</v>
      </c>
      <c r="F2" s="38" t="s">
        <v>57</v>
      </c>
      <c r="G2" s="128" t="s">
        <v>58</v>
      </c>
      <c r="H2" s="40" t="s">
        <v>1</v>
      </c>
      <c r="I2" s="41" t="s">
        <v>3</v>
      </c>
      <c r="J2" s="218" t="s">
        <v>5</v>
      </c>
      <c r="K2" s="41" t="s">
        <v>59</v>
      </c>
      <c r="L2" s="143" t="s">
        <v>60</v>
      </c>
      <c r="M2" s="43" t="s">
        <v>11</v>
      </c>
      <c r="N2" s="43" t="s">
        <v>61</v>
      </c>
      <c r="O2" s="43" t="s">
        <v>15</v>
      </c>
      <c r="P2" s="219" t="s">
        <v>62</v>
      </c>
      <c r="Q2" s="46" t="s">
        <v>63</v>
      </c>
      <c r="R2" s="46" t="s">
        <v>64</v>
      </c>
      <c r="S2" s="47" t="s">
        <v>22</v>
      </c>
      <c r="T2" s="48" t="s">
        <v>24</v>
      </c>
      <c r="U2" s="49"/>
      <c r="V2" s="50"/>
      <c r="W2" s="50"/>
      <c r="X2" s="50"/>
      <c r="Y2" s="50" t="s">
        <v>65</v>
      </c>
      <c r="Z2" s="50"/>
      <c r="AA2" s="50"/>
      <c r="AB2" s="50"/>
      <c r="AC2" s="51"/>
      <c r="AD2" s="50"/>
      <c r="AE2" s="50"/>
      <c r="AF2" s="50"/>
      <c r="AG2" s="50"/>
      <c r="AH2" s="50" t="s">
        <v>66</v>
      </c>
      <c r="AI2" s="50"/>
      <c r="AJ2" s="50"/>
      <c r="AK2" s="50"/>
      <c r="AL2" s="52"/>
      <c r="AM2" s="129" t="s">
        <v>67</v>
      </c>
      <c r="AN2" s="54" t="s">
        <v>68</v>
      </c>
      <c r="AO2" s="130" t="s">
        <v>69</v>
      </c>
      <c r="AP2" s="44" t="s">
        <v>70</v>
      </c>
      <c r="AQ2" s="56" t="s">
        <v>71</v>
      </c>
      <c r="AR2" s="57" t="s">
        <v>72</v>
      </c>
      <c r="AS2" s="58" t="s">
        <v>73</v>
      </c>
      <c r="AT2" s="58" t="s">
        <v>74</v>
      </c>
      <c r="AU2" s="49" t="s">
        <v>75</v>
      </c>
      <c r="AV2" s="44" t="s">
        <v>76</v>
      </c>
      <c r="AW2" s="131" t="s">
        <v>40</v>
      </c>
      <c r="AX2" s="48" t="s">
        <v>26</v>
      </c>
    </row>
    <row r="3" customFormat="false" ht="12.75" hidden="false" customHeight="true" outlineLevel="0" collapsed="false">
      <c r="A3" s="60"/>
      <c r="B3" s="61" t="s">
        <v>77</v>
      </c>
      <c r="C3" s="62" t="s">
        <v>78</v>
      </c>
      <c r="D3" s="63" t="s">
        <v>198</v>
      </c>
      <c r="E3" s="61" t="s">
        <v>77</v>
      </c>
      <c r="F3" s="62" t="s">
        <v>78</v>
      </c>
      <c r="G3" s="132"/>
      <c r="H3" s="66" t="s">
        <v>81</v>
      </c>
      <c r="I3" s="67" t="s">
        <v>82</v>
      </c>
      <c r="J3" s="215" t="s">
        <v>83</v>
      </c>
      <c r="K3" s="69"/>
      <c r="L3" s="60"/>
      <c r="M3" s="67" t="s">
        <v>84</v>
      </c>
      <c r="N3" s="67" t="s">
        <v>85</v>
      </c>
      <c r="O3" s="215" t="s">
        <v>86</v>
      </c>
      <c r="P3" s="220"/>
      <c r="Q3" s="73" t="s">
        <v>87</v>
      </c>
      <c r="R3" s="73" t="s">
        <v>87</v>
      </c>
      <c r="S3" s="74" t="s">
        <v>88</v>
      </c>
      <c r="T3" s="74"/>
      <c r="U3" s="74"/>
      <c r="V3" s="74"/>
      <c r="W3" s="74"/>
      <c r="X3" s="74"/>
      <c r="Y3" s="74"/>
      <c r="Z3" s="74"/>
      <c r="AA3" s="74"/>
      <c r="AB3" s="74"/>
      <c r="AC3" s="75"/>
      <c r="AD3" s="73"/>
      <c r="AE3" s="74"/>
      <c r="AF3" s="74"/>
      <c r="AG3" s="74"/>
      <c r="AH3" s="74"/>
      <c r="AI3" s="74"/>
      <c r="AJ3" s="74"/>
      <c r="AK3" s="74"/>
      <c r="AL3" s="74"/>
      <c r="AM3" s="74"/>
      <c r="AN3" s="74"/>
      <c r="AO3" s="74"/>
      <c r="AP3" s="75"/>
      <c r="AQ3" s="73" t="s">
        <v>87</v>
      </c>
      <c r="AR3" s="78" t="s">
        <v>81</v>
      </c>
      <c r="AS3" s="67" t="s">
        <v>82</v>
      </c>
      <c r="AT3" s="68" t="s">
        <v>83</v>
      </c>
      <c r="AV3" s="79"/>
      <c r="AW3" s="60"/>
      <c r="AX3" s="74"/>
    </row>
    <row r="4" customFormat="false" ht="12.75" hidden="false" customHeight="true" outlineLevel="0" collapsed="false">
      <c r="A4" s="69"/>
      <c r="B4" s="69"/>
      <c r="C4" s="69"/>
      <c r="D4" s="69"/>
      <c r="E4" s="61"/>
      <c r="F4" s="81"/>
      <c r="G4" s="82"/>
      <c r="H4" s="73"/>
      <c r="I4" s="74"/>
      <c r="J4" s="73"/>
      <c r="K4" s="79"/>
      <c r="L4" s="93"/>
      <c r="M4" s="70"/>
      <c r="N4" s="70"/>
      <c r="O4" s="70"/>
      <c r="P4" s="71"/>
      <c r="Q4" s="72"/>
      <c r="R4" s="73"/>
      <c r="S4" s="74"/>
      <c r="T4" s="74"/>
      <c r="U4" s="74"/>
      <c r="V4" s="74"/>
      <c r="W4" s="74"/>
      <c r="X4" s="74"/>
      <c r="Y4" s="74"/>
      <c r="Z4" s="74"/>
      <c r="AA4" s="74"/>
      <c r="AB4" s="74"/>
      <c r="AC4" s="74"/>
      <c r="AD4" s="74"/>
      <c r="AE4" s="74"/>
      <c r="AF4" s="74"/>
      <c r="AG4" s="74"/>
      <c r="AH4" s="74"/>
      <c r="AI4" s="74"/>
      <c r="AJ4" s="74"/>
      <c r="AK4" s="74"/>
      <c r="AL4" s="74"/>
      <c r="AM4" s="74"/>
      <c r="AN4" s="74"/>
      <c r="AO4" s="74"/>
      <c r="AP4" s="75"/>
      <c r="AQ4" s="73"/>
      <c r="AR4" s="86"/>
      <c r="AS4" s="83"/>
      <c r="AT4" s="83"/>
      <c r="AV4" s="79"/>
      <c r="AW4" s="59"/>
      <c r="AX4" s="74"/>
    </row>
    <row r="5" customFormat="false" ht="12.75" hidden="true" customHeight="true" outlineLevel="0" collapsed="false">
      <c r="A5" s="146" t="s">
        <v>200</v>
      </c>
      <c r="B5" s="147"/>
      <c r="C5" s="147"/>
      <c r="D5" s="147"/>
      <c r="E5" s="148"/>
      <c r="F5" s="221"/>
      <c r="G5" s="222"/>
      <c r="H5" s="151"/>
      <c r="I5" s="152"/>
      <c r="J5" s="152"/>
      <c r="K5" s="153"/>
      <c r="L5" s="154"/>
      <c r="M5" s="155"/>
      <c r="N5" s="155"/>
      <c r="O5" s="155"/>
      <c r="P5" s="156"/>
      <c r="Q5" s="157"/>
      <c r="R5" s="151"/>
      <c r="S5" s="158"/>
      <c r="T5" s="158"/>
      <c r="U5" s="152"/>
      <c r="V5" s="152"/>
      <c r="W5" s="152"/>
      <c r="X5" s="152"/>
      <c r="Y5" s="152"/>
      <c r="Z5" s="152"/>
      <c r="AA5" s="152"/>
      <c r="AB5" s="152"/>
      <c r="AC5" s="152"/>
      <c r="AD5" s="152"/>
      <c r="AE5" s="152"/>
      <c r="AF5" s="152"/>
      <c r="AG5" s="152"/>
      <c r="AH5" s="152"/>
      <c r="AI5" s="152"/>
      <c r="AJ5" s="152"/>
      <c r="AK5" s="152"/>
      <c r="AL5" s="152"/>
      <c r="AM5" s="152"/>
      <c r="AN5" s="159"/>
      <c r="AO5" s="160"/>
      <c r="AP5" s="161"/>
      <c r="AQ5" s="151"/>
      <c r="AR5" s="162"/>
      <c r="AS5" s="162"/>
      <c r="AT5" s="162"/>
      <c r="AU5" s="147"/>
      <c r="AV5" s="153"/>
      <c r="AW5" s="59"/>
      <c r="AX5" s="158"/>
    </row>
    <row r="6" customFormat="false" ht="12.75" hidden="true" customHeight="true" outlineLevel="0" collapsed="false">
      <c r="A6" s="163" t="s">
        <v>201</v>
      </c>
      <c r="B6" s="96"/>
      <c r="C6" s="96"/>
      <c r="D6" s="96"/>
      <c r="E6" s="111"/>
      <c r="F6" s="223"/>
      <c r="G6" s="113"/>
      <c r="H6" s="104"/>
      <c r="I6" s="97"/>
      <c r="J6" s="97"/>
      <c r="K6" s="110"/>
      <c r="L6" s="166"/>
      <c r="M6" s="167"/>
      <c r="N6" s="167"/>
      <c r="O6" s="167"/>
      <c r="P6" s="102"/>
      <c r="Q6" s="103"/>
      <c r="R6" s="104"/>
      <c r="S6" s="105"/>
      <c r="T6" s="105"/>
      <c r="U6" s="97"/>
      <c r="V6" s="97"/>
      <c r="W6" s="97"/>
      <c r="X6" s="97"/>
      <c r="Y6" s="97"/>
      <c r="Z6" s="97"/>
      <c r="AA6" s="97"/>
      <c r="AB6" s="97"/>
      <c r="AC6" s="97"/>
      <c r="AD6" s="97"/>
      <c r="AE6" s="97"/>
      <c r="AF6" s="97"/>
      <c r="AG6" s="97"/>
      <c r="AH6" s="97"/>
      <c r="AI6" s="97"/>
      <c r="AJ6" s="97"/>
      <c r="AK6" s="97"/>
      <c r="AL6" s="97"/>
      <c r="AM6" s="97"/>
      <c r="AN6" s="107"/>
      <c r="AO6" s="108"/>
      <c r="AP6" s="109"/>
      <c r="AQ6" s="104"/>
      <c r="AR6" s="99"/>
      <c r="AS6" s="99"/>
      <c r="AT6" s="99"/>
      <c r="AU6" s="96"/>
      <c r="AV6" s="110"/>
      <c r="AW6" s="59"/>
      <c r="AX6" s="105"/>
    </row>
    <row r="7" customFormat="false" ht="12.75" hidden="false" customHeight="true" outlineLevel="0" collapsed="false">
      <c r="A7" s="168" t="s">
        <v>202</v>
      </c>
      <c r="B7" s="69"/>
      <c r="C7" s="69"/>
      <c r="D7" s="69"/>
      <c r="E7" s="61"/>
      <c r="F7" s="81"/>
      <c r="G7" s="88"/>
      <c r="H7" s="73"/>
      <c r="I7" s="74"/>
      <c r="J7" s="74"/>
      <c r="K7" s="79"/>
      <c r="L7" s="93"/>
      <c r="M7" s="85"/>
      <c r="N7" s="85"/>
      <c r="O7" s="85"/>
      <c r="P7" s="95"/>
      <c r="Q7" s="72"/>
      <c r="R7" s="73"/>
      <c r="S7" s="90" t="n">
        <v>90</v>
      </c>
      <c r="T7" s="80"/>
      <c r="U7" s="74"/>
      <c r="V7" s="74"/>
      <c r="W7" s="74"/>
      <c r="X7" s="74"/>
      <c r="Y7" s="74"/>
      <c r="Z7" s="74"/>
      <c r="AA7" s="74"/>
      <c r="AB7" s="74"/>
      <c r="AC7" s="74"/>
      <c r="AD7" s="74"/>
      <c r="AE7" s="74"/>
      <c r="AF7" s="74"/>
      <c r="AG7" s="74"/>
      <c r="AH7" s="74"/>
      <c r="AI7" s="74"/>
      <c r="AJ7" s="74"/>
      <c r="AK7" s="74"/>
      <c r="AL7" s="74"/>
      <c r="AM7" s="74" t="e">
        <f aca="false">AVERAGE(U7:AC7)</f>
        <v>#DIV/0!</v>
      </c>
      <c r="AN7" s="92" t="n">
        <v>3.67</v>
      </c>
      <c r="AP7" s="75"/>
      <c r="AQ7" s="73" t="n">
        <f aca="false">AN7-(AN7-Q7)*(SIN((S7+AX7)*PI()/180))/(COS(AX7*PI()/180))</f>
        <v>0</v>
      </c>
      <c r="AR7" s="84" t="n">
        <f aca="false">H7+($M$1-M7)-(AN7-Q7)*(COS(S7*PI()/180))*(SIN((T7+13+2.3)*PI()/180))</f>
        <v>633905.233</v>
      </c>
      <c r="AS7" s="84" t="n">
        <f aca="false">I7+($N$1-N7)-(AN7-Q7)*(COS(S7*PI()/180))*(COS((T7+13+2.3)*PI()/180))</f>
        <v>3049240.448</v>
      </c>
      <c r="AT7" s="84" t="n">
        <f aca="false">J7+($O$1-O7)-R7+AN7-(AN7-Q7)*(SIN(S7*PI()/180))-L7</f>
        <v>56.28</v>
      </c>
      <c r="AU7" s="69"/>
      <c r="AV7" s="79"/>
      <c r="AW7" s="93" t="n">
        <f aca="false">AQ5-'Estacas Johnsons'!AQ5</f>
        <v>0</v>
      </c>
      <c r="AX7" s="80"/>
    </row>
    <row r="8" customFormat="false" ht="12.75" hidden="false" customHeight="true" outlineLevel="0" collapsed="false">
      <c r="A8" s="163" t="s">
        <v>204</v>
      </c>
      <c r="B8" s="96"/>
      <c r="C8" s="96"/>
      <c r="D8" s="96"/>
      <c r="E8" s="111"/>
      <c r="F8" s="112"/>
      <c r="G8" s="113"/>
      <c r="H8" s="104"/>
      <c r="I8" s="97"/>
      <c r="J8" s="97"/>
      <c r="K8" s="110"/>
      <c r="L8" s="166"/>
      <c r="M8" s="167"/>
      <c r="N8" s="167"/>
      <c r="O8" s="167"/>
      <c r="P8" s="102"/>
      <c r="Q8" s="103"/>
      <c r="R8" s="104"/>
      <c r="S8" s="105"/>
      <c r="T8" s="105"/>
      <c r="U8" s="97"/>
      <c r="V8" s="97"/>
      <c r="W8" s="97"/>
      <c r="X8" s="97"/>
      <c r="Y8" s="97"/>
      <c r="Z8" s="97"/>
      <c r="AA8" s="97"/>
      <c r="AB8" s="97"/>
      <c r="AC8" s="97"/>
      <c r="AD8" s="97"/>
      <c r="AE8" s="97"/>
      <c r="AF8" s="97"/>
      <c r="AG8" s="97"/>
      <c r="AH8" s="97"/>
      <c r="AI8" s="97"/>
      <c r="AJ8" s="97"/>
      <c r="AK8" s="97"/>
      <c r="AL8" s="97"/>
      <c r="AM8" s="97"/>
      <c r="AN8" s="107"/>
      <c r="AO8" s="108"/>
      <c r="AP8" s="109"/>
      <c r="AQ8" s="104"/>
      <c r="AR8" s="99"/>
      <c r="AS8" s="99"/>
      <c r="AT8" s="99"/>
      <c r="AU8" s="96"/>
      <c r="AV8" s="110"/>
      <c r="AW8" s="137"/>
      <c r="AX8" s="105"/>
    </row>
    <row r="9" customFormat="false" ht="12.75" hidden="false" customHeight="true" outlineLevel="0" collapsed="false">
      <c r="A9" s="168" t="s">
        <v>205</v>
      </c>
      <c r="B9" s="69"/>
      <c r="C9" s="69"/>
      <c r="D9" s="69"/>
      <c r="E9" s="61"/>
      <c r="F9" s="81"/>
      <c r="G9" s="88"/>
      <c r="H9" s="73"/>
      <c r="I9" s="74"/>
      <c r="J9" s="74"/>
      <c r="K9" s="79"/>
      <c r="L9" s="93"/>
      <c r="M9" s="84"/>
      <c r="N9" s="84"/>
      <c r="O9" s="84"/>
      <c r="P9" s="95"/>
      <c r="Q9" s="72"/>
      <c r="R9" s="73"/>
      <c r="S9" s="90" t="n">
        <v>90</v>
      </c>
      <c r="T9" s="80"/>
      <c r="U9" s="74"/>
      <c r="V9" s="74"/>
      <c r="W9" s="74"/>
      <c r="X9" s="74"/>
      <c r="Y9" s="74"/>
      <c r="Z9" s="74"/>
      <c r="AA9" s="74"/>
      <c r="AB9" s="74"/>
      <c r="AC9" s="74"/>
      <c r="AD9" s="74"/>
      <c r="AE9" s="74"/>
      <c r="AF9" s="74"/>
      <c r="AG9" s="74"/>
      <c r="AH9" s="74"/>
      <c r="AI9" s="74"/>
      <c r="AJ9" s="74"/>
      <c r="AK9" s="74"/>
      <c r="AL9" s="74"/>
      <c r="AM9" s="74" t="e">
        <f aca="false">AVERAGE(U9:AC9)</f>
        <v>#DIV/0!</v>
      </c>
      <c r="AN9" s="92" t="n">
        <v>3.67</v>
      </c>
      <c r="AP9" s="75"/>
      <c r="AQ9" s="73" t="n">
        <f aca="false">AN9-(AN9-Q9)*(SIN((S9+AX9)*PI()/180))/(COS(AX9*PI()/180))</f>
        <v>0</v>
      </c>
      <c r="AR9" s="84" t="n">
        <f aca="false">H9+($M$1-M9)-(AN9-Q9)*(COS(S9*PI()/180))*(SIN((T9+13+2.3)*PI()/180))</f>
        <v>633905.233</v>
      </c>
      <c r="AS9" s="84" t="n">
        <f aca="false">I9+($N$1-N9)-(AN9-Q9)*(COS(S9*PI()/180))*(COS((T9+13+2.3)*PI()/180))</f>
        <v>3049240.448</v>
      </c>
      <c r="AT9" s="84" t="n">
        <f aca="false">J9+($O$1-O9)-R9+AN9-(AN9-Q9)*(SIN(S9*PI()/180))-L9</f>
        <v>56.28</v>
      </c>
      <c r="AU9" s="69"/>
      <c r="AV9" s="79"/>
      <c r="AW9" s="93" t="n">
        <f aca="false">AQ7-'Estacas Johnsons'!AQ7</f>
        <v>-0.41</v>
      </c>
      <c r="AX9" s="80"/>
    </row>
    <row r="10" customFormat="false" ht="12.75" hidden="false" customHeight="true" outlineLevel="0" collapsed="false">
      <c r="A10" s="163" t="s">
        <v>209</v>
      </c>
      <c r="B10" s="96"/>
      <c r="C10" s="96"/>
      <c r="D10" s="96"/>
      <c r="E10" s="111"/>
      <c r="F10" s="112"/>
      <c r="G10" s="113"/>
      <c r="H10" s="104"/>
      <c r="I10" s="97"/>
      <c r="J10" s="97"/>
      <c r="K10" s="110"/>
      <c r="L10" s="166"/>
      <c r="M10" s="167"/>
      <c r="N10" s="167"/>
      <c r="O10" s="167"/>
      <c r="P10" s="102"/>
      <c r="Q10" s="103"/>
      <c r="R10" s="104"/>
      <c r="S10" s="105"/>
      <c r="T10" s="105"/>
      <c r="U10" s="97"/>
      <c r="V10" s="97"/>
      <c r="W10" s="97"/>
      <c r="X10" s="97"/>
      <c r="Y10" s="97"/>
      <c r="Z10" s="97"/>
      <c r="AA10" s="97"/>
      <c r="AB10" s="97"/>
      <c r="AC10" s="97"/>
      <c r="AD10" s="97"/>
      <c r="AE10" s="97"/>
      <c r="AF10" s="97"/>
      <c r="AG10" s="97"/>
      <c r="AH10" s="97"/>
      <c r="AI10" s="97"/>
      <c r="AJ10" s="97"/>
      <c r="AK10" s="97"/>
      <c r="AL10" s="97"/>
      <c r="AM10" s="114"/>
      <c r="AN10" s="107"/>
      <c r="AO10" s="108"/>
      <c r="AP10" s="109"/>
      <c r="AQ10" s="104"/>
      <c r="AR10" s="99"/>
      <c r="AS10" s="99"/>
      <c r="AT10" s="99"/>
      <c r="AU10" s="96"/>
      <c r="AV10" s="110"/>
      <c r="AW10" s="137"/>
      <c r="AX10" s="105"/>
    </row>
    <row r="11" customFormat="false" ht="12.75" hidden="false" customHeight="true" outlineLevel="0" collapsed="false">
      <c r="A11" s="168" t="s">
        <v>210</v>
      </c>
      <c r="B11" s="69"/>
      <c r="C11" s="69"/>
      <c r="D11" s="69"/>
      <c r="E11" s="61"/>
      <c r="F11" s="81"/>
      <c r="G11" s="88"/>
      <c r="H11" s="73"/>
      <c r="I11" s="74"/>
      <c r="J11" s="74"/>
      <c r="K11" s="79"/>
      <c r="L11" s="93"/>
      <c r="M11" s="84"/>
      <c r="N11" s="84"/>
      <c r="O11" s="84"/>
      <c r="P11" s="95"/>
      <c r="Q11" s="72"/>
      <c r="R11" s="73"/>
      <c r="S11" s="90" t="n">
        <v>90</v>
      </c>
      <c r="T11" s="80"/>
      <c r="U11" s="74"/>
      <c r="V11" s="74"/>
      <c r="W11" s="74"/>
      <c r="X11" s="74"/>
      <c r="Y11" s="74"/>
      <c r="Z11" s="74"/>
      <c r="AA11" s="74"/>
      <c r="AB11" s="74"/>
      <c r="AC11" s="74"/>
      <c r="AD11" s="74"/>
      <c r="AE11" s="74"/>
      <c r="AF11" s="74"/>
      <c r="AG11" s="74"/>
      <c r="AH11" s="74"/>
      <c r="AI11" s="74"/>
      <c r="AJ11" s="74"/>
      <c r="AK11" s="74"/>
      <c r="AL11" s="74"/>
      <c r="AM11" s="74" t="e">
        <f aca="false">AVERAGE(U11:AC11)</f>
        <v>#DIV/0!</v>
      </c>
      <c r="AN11" s="92" t="n">
        <v>3.67</v>
      </c>
      <c r="AP11" s="75"/>
      <c r="AQ11" s="73" t="n">
        <f aca="false">AN11-(AN11-Q10)*(SIN((S11+AX11)*PI()/180))/(COS(AX11*PI()/180))</f>
        <v>0</v>
      </c>
      <c r="AR11" s="84" t="n">
        <f aca="false">H11+($M$1-M11)-(AN11-Q10)*(COS(S11*PI()/180))*(SIN((T11+13+2.3)*PI()/180))</f>
        <v>633905.233</v>
      </c>
      <c r="AS11" s="84" t="n">
        <f aca="false">I11+($N$1-N11)-(AN11-Q10)*(COS(S11*PI()/180))*(COS((T11+13+2.3)*PI()/180))</f>
        <v>3049240.448</v>
      </c>
      <c r="AT11" s="84" t="n">
        <f aca="false">J11+($O$1-O11)-R11+AN11-(AN11-Q10)*(SIN(S11*PI()/180))-L11</f>
        <v>56.28</v>
      </c>
      <c r="AU11" s="69"/>
      <c r="AV11" s="79"/>
      <c r="AW11" s="93" t="n">
        <f aca="false">AQ9-'Estacas Johnsons'!AQ9</f>
        <v>-0.17</v>
      </c>
      <c r="AX11" s="80"/>
    </row>
    <row r="12" customFormat="false" ht="12.75" hidden="false" customHeight="true" outlineLevel="0" collapsed="false">
      <c r="A12" s="163" t="s">
        <v>214</v>
      </c>
      <c r="B12" s="96"/>
      <c r="C12" s="96"/>
      <c r="D12" s="96"/>
      <c r="E12" s="111"/>
      <c r="F12" s="112"/>
      <c r="G12" s="113"/>
      <c r="H12" s="104"/>
      <c r="I12" s="97"/>
      <c r="J12" s="97"/>
      <c r="K12" s="110"/>
      <c r="L12" s="166"/>
      <c r="M12" s="167"/>
      <c r="N12" s="167"/>
      <c r="O12" s="167"/>
      <c r="P12" s="102"/>
      <c r="Q12" s="103"/>
      <c r="R12" s="104"/>
      <c r="S12" s="105"/>
      <c r="T12" s="105"/>
      <c r="U12" s="97"/>
      <c r="V12" s="97"/>
      <c r="W12" s="97"/>
      <c r="X12" s="97"/>
      <c r="Y12" s="97"/>
      <c r="Z12" s="97"/>
      <c r="AA12" s="97"/>
      <c r="AB12" s="97"/>
      <c r="AC12" s="97"/>
      <c r="AD12" s="97"/>
      <c r="AE12" s="97"/>
      <c r="AF12" s="97"/>
      <c r="AG12" s="97"/>
      <c r="AH12" s="97"/>
      <c r="AI12" s="97"/>
      <c r="AJ12" s="97"/>
      <c r="AK12" s="97"/>
      <c r="AL12" s="97"/>
      <c r="AM12" s="97"/>
      <c r="AN12" s="107"/>
      <c r="AO12" s="108"/>
      <c r="AP12" s="109"/>
      <c r="AQ12" s="104"/>
      <c r="AR12" s="99"/>
      <c r="AS12" s="99"/>
      <c r="AT12" s="99"/>
      <c r="AU12" s="96"/>
      <c r="AV12" s="110"/>
      <c r="AW12" s="137"/>
      <c r="AX12" s="105"/>
    </row>
    <row r="13" customFormat="false" ht="12.75" hidden="false" customHeight="true" outlineLevel="0" collapsed="false">
      <c r="A13" s="163" t="s">
        <v>215</v>
      </c>
      <c r="B13" s="96"/>
      <c r="C13" s="96"/>
      <c r="D13" s="96"/>
      <c r="E13" s="111"/>
      <c r="F13" s="112"/>
      <c r="G13" s="113"/>
      <c r="H13" s="104"/>
      <c r="I13" s="97"/>
      <c r="J13" s="97"/>
      <c r="K13" s="110"/>
      <c r="L13" s="166"/>
      <c r="M13" s="167"/>
      <c r="N13" s="167"/>
      <c r="O13" s="167"/>
      <c r="P13" s="102"/>
      <c r="Q13" s="103"/>
      <c r="R13" s="104"/>
      <c r="S13" s="105"/>
      <c r="T13" s="105"/>
      <c r="U13" s="97"/>
      <c r="V13" s="97"/>
      <c r="W13" s="97"/>
      <c r="X13" s="97"/>
      <c r="Y13" s="97"/>
      <c r="Z13" s="97"/>
      <c r="AA13" s="97"/>
      <c r="AB13" s="97"/>
      <c r="AC13" s="97"/>
      <c r="AD13" s="97"/>
      <c r="AE13" s="97"/>
      <c r="AF13" s="97"/>
      <c r="AG13" s="97"/>
      <c r="AH13" s="97"/>
      <c r="AI13" s="97"/>
      <c r="AJ13" s="97"/>
      <c r="AK13" s="97"/>
      <c r="AL13" s="97"/>
      <c r="AM13" s="97"/>
      <c r="AN13" s="107"/>
      <c r="AO13" s="108"/>
      <c r="AP13" s="109"/>
      <c r="AQ13" s="104"/>
      <c r="AR13" s="99"/>
      <c r="AS13" s="99"/>
      <c r="AT13" s="99"/>
      <c r="AU13" s="96"/>
      <c r="AV13" s="110"/>
      <c r="AW13" s="137"/>
      <c r="AX13" s="105"/>
    </row>
    <row r="14" customFormat="false" ht="12.75" hidden="false" customHeight="true" outlineLevel="0" collapsed="false">
      <c r="A14" s="163" t="s">
        <v>216</v>
      </c>
      <c r="B14" s="96"/>
      <c r="C14" s="96"/>
      <c r="D14" s="96"/>
      <c r="E14" s="111"/>
      <c r="F14" s="112"/>
      <c r="G14" s="113"/>
      <c r="H14" s="104"/>
      <c r="I14" s="97"/>
      <c r="J14" s="97"/>
      <c r="K14" s="110"/>
      <c r="L14" s="166"/>
      <c r="M14" s="167"/>
      <c r="N14" s="167"/>
      <c r="O14" s="167"/>
      <c r="P14" s="102"/>
      <c r="Q14" s="103"/>
      <c r="R14" s="104"/>
      <c r="S14" s="105"/>
      <c r="T14" s="105"/>
      <c r="U14" s="97"/>
      <c r="V14" s="97"/>
      <c r="W14" s="97"/>
      <c r="X14" s="97"/>
      <c r="Y14" s="97"/>
      <c r="Z14" s="97"/>
      <c r="AA14" s="97"/>
      <c r="AB14" s="97"/>
      <c r="AC14" s="97"/>
      <c r="AD14" s="97"/>
      <c r="AE14" s="97"/>
      <c r="AF14" s="97"/>
      <c r="AG14" s="97"/>
      <c r="AH14" s="97"/>
      <c r="AI14" s="97"/>
      <c r="AJ14" s="97"/>
      <c r="AK14" s="97"/>
      <c r="AL14" s="97"/>
      <c r="AM14" s="97"/>
      <c r="AN14" s="107"/>
      <c r="AO14" s="108"/>
      <c r="AP14" s="109"/>
      <c r="AQ14" s="104"/>
      <c r="AR14" s="99"/>
      <c r="AS14" s="99"/>
      <c r="AT14" s="99"/>
      <c r="AU14" s="96"/>
      <c r="AV14" s="110"/>
      <c r="AW14" s="137"/>
      <c r="AX14" s="105"/>
    </row>
    <row r="15" customFormat="false" ht="12.75" hidden="false" customHeight="true" outlineLevel="0" collapsed="false">
      <c r="A15" s="163" t="s">
        <v>217</v>
      </c>
      <c r="B15" s="96"/>
      <c r="C15" s="96"/>
      <c r="D15" s="96"/>
      <c r="E15" s="111"/>
      <c r="F15" s="112"/>
      <c r="G15" s="113"/>
      <c r="H15" s="104"/>
      <c r="I15" s="97"/>
      <c r="J15" s="97"/>
      <c r="K15" s="110"/>
      <c r="L15" s="166"/>
      <c r="M15" s="167"/>
      <c r="N15" s="167"/>
      <c r="O15" s="167"/>
      <c r="P15" s="102"/>
      <c r="Q15" s="103"/>
      <c r="R15" s="104"/>
      <c r="S15" s="105"/>
      <c r="T15" s="105"/>
      <c r="U15" s="97"/>
      <c r="V15" s="97"/>
      <c r="W15" s="97"/>
      <c r="X15" s="97"/>
      <c r="Y15" s="97"/>
      <c r="Z15" s="97"/>
      <c r="AA15" s="97"/>
      <c r="AB15" s="97"/>
      <c r="AC15" s="97"/>
      <c r="AD15" s="97"/>
      <c r="AE15" s="97"/>
      <c r="AF15" s="97"/>
      <c r="AG15" s="97"/>
      <c r="AH15" s="97"/>
      <c r="AI15" s="97"/>
      <c r="AJ15" s="97"/>
      <c r="AK15" s="97"/>
      <c r="AL15" s="97"/>
      <c r="AM15" s="97"/>
      <c r="AN15" s="107"/>
      <c r="AO15" s="108"/>
      <c r="AP15" s="109"/>
      <c r="AQ15" s="104"/>
      <c r="AR15" s="99"/>
      <c r="AS15" s="99"/>
      <c r="AT15" s="99"/>
      <c r="AU15" s="96"/>
      <c r="AV15" s="110"/>
      <c r="AW15" s="137"/>
      <c r="AX15" s="105"/>
    </row>
    <row r="16" customFormat="false" ht="12.75" hidden="false" customHeight="true" outlineLevel="0" collapsed="false">
      <c r="A16" s="163" t="s">
        <v>218</v>
      </c>
      <c r="B16" s="96"/>
      <c r="C16" s="96"/>
      <c r="D16" s="96"/>
      <c r="E16" s="111"/>
      <c r="F16" s="112"/>
      <c r="G16" s="113"/>
      <c r="H16" s="104"/>
      <c r="I16" s="97"/>
      <c r="J16" s="97"/>
      <c r="K16" s="110"/>
      <c r="L16" s="166"/>
      <c r="M16" s="167"/>
      <c r="N16" s="167"/>
      <c r="O16" s="167"/>
      <c r="P16" s="102"/>
      <c r="Q16" s="103"/>
      <c r="R16" s="104"/>
      <c r="S16" s="105"/>
      <c r="T16" s="105"/>
      <c r="U16" s="97"/>
      <c r="V16" s="97"/>
      <c r="W16" s="97"/>
      <c r="X16" s="97"/>
      <c r="Y16" s="97"/>
      <c r="Z16" s="97"/>
      <c r="AA16" s="97"/>
      <c r="AB16" s="97"/>
      <c r="AC16" s="97"/>
      <c r="AD16" s="97"/>
      <c r="AE16" s="97"/>
      <c r="AF16" s="97"/>
      <c r="AG16" s="97"/>
      <c r="AH16" s="97"/>
      <c r="AI16" s="97"/>
      <c r="AJ16" s="97"/>
      <c r="AK16" s="97"/>
      <c r="AL16" s="97"/>
      <c r="AM16" s="97"/>
      <c r="AN16" s="107"/>
      <c r="AO16" s="108"/>
      <c r="AP16" s="109"/>
      <c r="AQ16" s="104"/>
      <c r="AR16" s="99"/>
      <c r="AS16" s="99"/>
      <c r="AT16" s="99"/>
      <c r="AU16" s="96"/>
      <c r="AV16" s="110"/>
      <c r="AW16" s="137"/>
      <c r="AX16" s="105"/>
    </row>
    <row r="17" customFormat="false" ht="12.75" hidden="false" customHeight="true" outlineLevel="0" collapsed="false">
      <c r="A17" s="168" t="s">
        <v>219</v>
      </c>
      <c r="B17" s="69"/>
      <c r="C17" s="69"/>
      <c r="D17" s="69"/>
      <c r="E17" s="61"/>
      <c r="F17" s="81"/>
      <c r="G17" s="88"/>
      <c r="H17" s="73"/>
      <c r="I17" s="74"/>
      <c r="J17" s="74"/>
      <c r="K17" s="79"/>
      <c r="L17" s="93"/>
      <c r="M17" s="85"/>
      <c r="N17" s="85"/>
      <c r="O17" s="85"/>
      <c r="P17" s="95"/>
      <c r="Q17" s="72"/>
      <c r="R17" s="73"/>
      <c r="S17" s="90" t="n">
        <v>90</v>
      </c>
      <c r="T17" s="80"/>
      <c r="U17" s="74"/>
      <c r="V17" s="74"/>
      <c r="W17" s="74"/>
      <c r="X17" s="74"/>
      <c r="Y17" s="74"/>
      <c r="Z17" s="74"/>
      <c r="AA17" s="74"/>
      <c r="AB17" s="74"/>
      <c r="AC17" s="74"/>
      <c r="AD17" s="74"/>
      <c r="AE17" s="74"/>
      <c r="AF17" s="74"/>
      <c r="AG17" s="74"/>
      <c r="AH17" s="74"/>
      <c r="AI17" s="74"/>
      <c r="AJ17" s="74"/>
      <c r="AK17" s="74"/>
      <c r="AL17" s="74"/>
      <c r="AM17" s="74" t="e">
        <f aca="false">AVERAGE(U17:AC17)</f>
        <v>#DIV/0!</v>
      </c>
      <c r="AN17" s="92" t="n">
        <v>3.67</v>
      </c>
      <c r="AP17" s="75"/>
      <c r="AQ17" s="73" t="n">
        <f aca="false">AN17-(AN17-Q17)*(SIN((S17+AX17)*PI()/180))/(COS(AX17*PI()/180))</f>
        <v>0</v>
      </c>
      <c r="AR17" s="84" t="n">
        <f aca="false">H17+($M$1-M17)-(AN17-Q17)*(COS(S17*PI()/180))*(SIN((T17+13+2.3)*PI()/180))</f>
        <v>633905.233</v>
      </c>
      <c r="AS17" s="84" t="n">
        <f aca="false">I17+($N$1-N17)-(AN17-Q17)*(COS(S17*PI()/180))*(COS((T17+13+2.3)*PI()/180))</f>
        <v>3049240.448</v>
      </c>
      <c r="AT17" s="84" t="n">
        <f aca="false">J17+($O$1-O17)-R17+AN17-(AN17-Q17)*(SIN(S17*PI()/180))-L17</f>
        <v>56.28</v>
      </c>
      <c r="AU17" s="69"/>
      <c r="AV17" s="79"/>
      <c r="AW17" s="93" t="n">
        <f aca="false">AQ15-'Estacas Johnsons'!AQ15</f>
        <v>0</v>
      </c>
      <c r="AX17" s="80"/>
    </row>
    <row r="18" customFormat="false" ht="12.75" hidden="false" customHeight="true" outlineLevel="0" collapsed="false">
      <c r="A18" s="168" t="s">
        <v>220</v>
      </c>
      <c r="B18" s="69"/>
      <c r="C18" s="202"/>
      <c r="D18" s="69"/>
      <c r="E18" s="211"/>
      <c r="F18" s="212"/>
      <c r="G18" s="88"/>
      <c r="H18" s="73"/>
      <c r="I18" s="74"/>
      <c r="J18" s="74"/>
      <c r="K18" s="79"/>
      <c r="L18" s="93"/>
      <c r="M18" s="85"/>
      <c r="N18" s="85"/>
      <c r="O18" s="85"/>
      <c r="P18" s="95"/>
      <c r="Q18" s="72"/>
      <c r="R18" s="73"/>
      <c r="S18" s="90" t="n">
        <v>90</v>
      </c>
      <c r="T18" s="80"/>
      <c r="U18" s="74"/>
      <c r="V18" s="74"/>
      <c r="W18" s="74"/>
      <c r="X18" s="74"/>
      <c r="Y18" s="74"/>
      <c r="AA18" s="74"/>
      <c r="AB18" s="74"/>
      <c r="AC18" s="74"/>
      <c r="AD18" s="74"/>
      <c r="AE18" s="74"/>
      <c r="AF18" s="74"/>
      <c r="AG18" s="74"/>
      <c r="AH18" s="74"/>
      <c r="AI18" s="74"/>
      <c r="AJ18" s="74"/>
      <c r="AK18" s="74"/>
      <c r="AL18" s="74"/>
      <c r="AM18" s="74" t="e">
        <f aca="false">AVERAGE(U18:AC18)</f>
        <v>#DIV/0!</v>
      </c>
      <c r="AN18" s="92" t="n">
        <v>3.67</v>
      </c>
      <c r="AP18" s="75"/>
      <c r="AQ18" s="73" t="n">
        <f aca="false">AN18-(AN18-Q18)*(SIN((S18+AX18)*PI()/180))/(COS(AX18*PI()/180))</f>
        <v>0</v>
      </c>
      <c r="AR18" s="84" t="n">
        <f aca="false">H18+($M$1-M18)-(AN18-Q18)*(COS(S18*PI()/180))*(SIN((T18+13+2.3)*PI()/180))</f>
        <v>633905.233</v>
      </c>
      <c r="AS18" s="84" t="n">
        <f aca="false">I18+($N$1-N18)-(AN18-Q18)*(COS(S18*PI()/180))*(COS((T18+13+2.3)*PI()/180))</f>
        <v>3049240.448</v>
      </c>
      <c r="AT18" s="84" t="n">
        <f aca="false">J18+($O$1-O18)-R18+AN18-(AN18-Q18)*(SIN(S18*PI()/180))-L18</f>
        <v>56.28</v>
      </c>
      <c r="AU18" s="69"/>
      <c r="AV18" s="79"/>
      <c r="AW18" s="93" t="n">
        <f aca="false">AQ16-'Estacas Johnsons'!AQ16</f>
        <v>0</v>
      </c>
      <c r="AX18" s="80"/>
    </row>
    <row r="19" customFormat="false" ht="12.75" hidden="false" customHeight="true" outlineLevel="0" collapsed="false">
      <c r="A19" s="163" t="s">
        <v>221</v>
      </c>
      <c r="B19" s="96"/>
      <c r="C19" s="96"/>
      <c r="D19" s="96"/>
      <c r="E19" s="111"/>
      <c r="F19" s="112"/>
      <c r="G19" s="113"/>
      <c r="H19" s="104"/>
      <c r="I19" s="97"/>
      <c r="J19" s="97"/>
      <c r="K19" s="110"/>
      <c r="L19" s="166"/>
      <c r="M19" s="167"/>
      <c r="N19" s="167"/>
      <c r="O19" s="167"/>
      <c r="P19" s="102"/>
      <c r="Q19" s="103"/>
      <c r="R19" s="104"/>
      <c r="S19" s="105"/>
      <c r="T19" s="105"/>
      <c r="U19" s="97"/>
      <c r="V19" s="97"/>
      <c r="W19" s="97"/>
      <c r="X19" s="97"/>
      <c r="Y19" s="97"/>
      <c r="Z19" s="97"/>
      <c r="AA19" s="97"/>
      <c r="AB19" s="97"/>
      <c r="AC19" s="97"/>
      <c r="AD19" s="97"/>
      <c r="AE19" s="97"/>
      <c r="AF19" s="97"/>
      <c r="AG19" s="97"/>
      <c r="AH19" s="97"/>
      <c r="AI19" s="97"/>
      <c r="AJ19" s="97"/>
      <c r="AK19" s="97"/>
      <c r="AL19" s="97"/>
      <c r="AM19" s="97"/>
      <c r="AN19" s="107"/>
      <c r="AO19" s="108"/>
      <c r="AP19" s="109"/>
      <c r="AQ19" s="104"/>
      <c r="AR19" s="99"/>
      <c r="AS19" s="99"/>
      <c r="AT19" s="99"/>
      <c r="AU19" s="96"/>
      <c r="AV19" s="110"/>
      <c r="AW19" s="137"/>
      <c r="AX19" s="105"/>
    </row>
    <row r="20" customFormat="false" ht="12.75" hidden="false" customHeight="true" outlineLevel="0" collapsed="false">
      <c r="A20" s="163" t="s">
        <v>222</v>
      </c>
      <c r="B20" s="96"/>
      <c r="C20" s="96"/>
      <c r="D20" s="96"/>
      <c r="E20" s="111"/>
      <c r="F20" s="112"/>
      <c r="G20" s="113"/>
      <c r="H20" s="104"/>
      <c r="I20" s="97"/>
      <c r="J20" s="97"/>
      <c r="K20" s="110"/>
      <c r="L20" s="166"/>
      <c r="M20" s="167"/>
      <c r="N20" s="167"/>
      <c r="O20" s="167"/>
      <c r="P20" s="102"/>
      <c r="Q20" s="103"/>
      <c r="R20" s="104"/>
      <c r="S20" s="105"/>
      <c r="T20" s="105"/>
      <c r="U20" s="97"/>
      <c r="V20" s="97"/>
      <c r="W20" s="97"/>
      <c r="X20" s="97"/>
      <c r="Y20" s="97"/>
      <c r="Z20" s="97"/>
      <c r="AA20" s="97"/>
      <c r="AB20" s="97"/>
      <c r="AC20" s="97"/>
      <c r="AD20" s="97"/>
      <c r="AE20" s="97"/>
      <c r="AF20" s="97"/>
      <c r="AG20" s="97"/>
      <c r="AH20" s="97"/>
      <c r="AI20" s="97"/>
      <c r="AJ20" s="97"/>
      <c r="AK20" s="97"/>
      <c r="AL20" s="97"/>
      <c r="AM20" s="97"/>
      <c r="AN20" s="107"/>
      <c r="AO20" s="108"/>
      <c r="AP20" s="109"/>
      <c r="AQ20" s="104"/>
      <c r="AR20" s="99"/>
      <c r="AS20" s="99"/>
      <c r="AT20" s="99"/>
      <c r="AU20" s="96"/>
      <c r="AV20" s="110"/>
      <c r="AW20" s="137"/>
      <c r="AX20" s="105"/>
    </row>
    <row r="21" customFormat="false" ht="12.75" hidden="false" customHeight="true" outlineLevel="0" collapsed="false">
      <c r="A21" s="163" t="s">
        <v>223</v>
      </c>
      <c r="B21" s="96"/>
      <c r="C21" s="96"/>
      <c r="D21" s="96"/>
      <c r="E21" s="111"/>
      <c r="F21" s="112"/>
      <c r="G21" s="113"/>
      <c r="H21" s="104"/>
      <c r="I21" s="97"/>
      <c r="J21" s="97"/>
      <c r="K21" s="110"/>
      <c r="L21" s="166"/>
      <c r="M21" s="167"/>
      <c r="N21" s="167"/>
      <c r="O21" s="167"/>
      <c r="P21" s="102"/>
      <c r="Q21" s="103"/>
      <c r="R21" s="104"/>
      <c r="S21" s="105"/>
      <c r="T21" s="105"/>
      <c r="U21" s="97"/>
      <c r="V21" s="97"/>
      <c r="W21" s="97"/>
      <c r="X21" s="97"/>
      <c r="Y21" s="97"/>
      <c r="Z21" s="97"/>
      <c r="AA21" s="97"/>
      <c r="AB21" s="97"/>
      <c r="AC21" s="97"/>
      <c r="AD21" s="97"/>
      <c r="AE21" s="97"/>
      <c r="AF21" s="97"/>
      <c r="AG21" s="97"/>
      <c r="AH21" s="97"/>
      <c r="AI21" s="97"/>
      <c r="AJ21" s="97"/>
      <c r="AK21" s="97"/>
      <c r="AL21" s="97"/>
      <c r="AM21" s="97"/>
      <c r="AN21" s="107"/>
      <c r="AO21" s="108"/>
      <c r="AP21" s="109"/>
      <c r="AQ21" s="104"/>
      <c r="AR21" s="99"/>
      <c r="AS21" s="99"/>
      <c r="AT21" s="99"/>
      <c r="AU21" s="96"/>
      <c r="AV21" s="110"/>
      <c r="AW21" s="137"/>
      <c r="AX21" s="105"/>
    </row>
    <row r="22" customFormat="false" ht="12.75" hidden="false" customHeight="true" outlineLevel="0" collapsed="false">
      <c r="A22" s="163" t="s">
        <v>224</v>
      </c>
      <c r="B22" s="96"/>
      <c r="C22" s="96"/>
      <c r="D22" s="96"/>
      <c r="E22" s="111"/>
      <c r="F22" s="112"/>
      <c r="G22" s="113"/>
      <c r="H22" s="104"/>
      <c r="I22" s="97"/>
      <c r="J22" s="97"/>
      <c r="K22" s="110"/>
      <c r="L22" s="166"/>
      <c r="M22" s="167"/>
      <c r="N22" s="167"/>
      <c r="O22" s="167"/>
      <c r="P22" s="102"/>
      <c r="Q22" s="103"/>
      <c r="R22" s="104"/>
      <c r="S22" s="105"/>
      <c r="T22" s="105"/>
      <c r="U22" s="97"/>
      <c r="V22" s="97"/>
      <c r="W22" s="97"/>
      <c r="X22" s="97"/>
      <c r="Y22" s="97"/>
      <c r="Z22" s="97"/>
      <c r="AA22" s="97"/>
      <c r="AB22" s="97"/>
      <c r="AC22" s="97"/>
      <c r="AD22" s="97"/>
      <c r="AE22" s="97"/>
      <c r="AF22" s="97"/>
      <c r="AG22" s="97"/>
      <c r="AH22" s="97"/>
      <c r="AI22" s="97"/>
      <c r="AJ22" s="97"/>
      <c r="AK22" s="97"/>
      <c r="AL22" s="97"/>
      <c r="AM22" s="97"/>
      <c r="AN22" s="107"/>
      <c r="AO22" s="108"/>
      <c r="AP22" s="109"/>
      <c r="AQ22" s="104"/>
      <c r="AR22" s="99"/>
      <c r="AS22" s="99"/>
      <c r="AT22" s="99"/>
      <c r="AU22" s="96"/>
      <c r="AV22" s="110"/>
      <c r="AW22" s="137"/>
      <c r="AX22" s="105"/>
    </row>
    <row r="23" customFormat="false" ht="12.75" hidden="false" customHeight="true" outlineLevel="0" collapsed="false">
      <c r="A23" s="163" t="s">
        <v>225</v>
      </c>
      <c r="B23" s="96"/>
      <c r="C23" s="96"/>
      <c r="D23" s="96"/>
      <c r="E23" s="111"/>
      <c r="F23" s="112"/>
      <c r="G23" s="113"/>
      <c r="H23" s="104"/>
      <c r="I23" s="97"/>
      <c r="J23" s="97"/>
      <c r="K23" s="110"/>
      <c r="L23" s="166"/>
      <c r="M23" s="167"/>
      <c r="N23" s="167"/>
      <c r="O23" s="167"/>
      <c r="P23" s="102"/>
      <c r="Q23" s="103"/>
      <c r="R23" s="104"/>
      <c r="S23" s="105"/>
      <c r="T23" s="105"/>
      <c r="U23" s="97"/>
      <c r="V23" s="97"/>
      <c r="W23" s="97"/>
      <c r="X23" s="97"/>
      <c r="Y23" s="97"/>
      <c r="Z23" s="97"/>
      <c r="AA23" s="97"/>
      <c r="AB23" s="97"/>
      <c r="AC23" s="97"/>
      <c r="AD23" s="97"/>
      <c r="AE23" s="97"/>
      <c r="AF23" s="97"/>
      <c r="AG23" s="97"/>
      <c r="AH23" s="97"/>
      <c r="AI23" s="97"/>
      <c r="AJ23" s="97"/>
      <c r="AK23" s="97"/>
      <c r="AL23" s="97"/>
      <c r="AM23" s="97"/>
      <c r="AN23" s="107"/>
      <c r="AO23" s="108"/>
      <c r="AP23" s="109"/>
      <c r="AQ23" s="104"/>
      <c r="AR23" s="99"/>
      <c r="AS23" s="99"/>
      <c r="AT23" s="99"/>
      <c r="AU23" s="96"/>
      <c r="AV23" s="110"/>
      <c r="AW23" s="137"/>
      <c r="AX23" s="105"/>
    </row>
    <row r="24" customFormat="false" ht="12.75" hidden="false" customHeight="true" outlineLevel="0" collapsed="false">
      <c r="A24" s="163" t="s">
        <v>226</v>
      </c>
      <c r="B24" s="96"/>
      <c r="C24" s="96"/>
      <c r="D24" s="96"/>
      <c r="E24" s="111"/>
      <c r="F24" s="112"/>
      <c r="G24" s="113"/>
      <c r="H24" s="104"/>
      <c r="I24" s="97"/>
      <c r="J24" s="97"/>
      <c r="K24" s="110"/>
      <c r="L24" s="166"/>
      <c r="M24" s="167"/>
      <c r="N24" s="167"/>
      <c r="O24" s="167"/>
      <c r="P24" s="102"/>
      <c r="Q24" s="103"/>
      <c r="R24" s="104"/>
      <c r="S24" s="105"/>
      <c r="T24" s="105"/>
      <c r="U24" s="97"/>
      <c r="V24" s="97"/>
      <c r="W24" s="97"/>
      <c r="X24" s="97"/>
      <c r="Y24" s="97"/>
      <c r="Z24" s="97"/>
      <c r="AA24" s="97"/>
      <c r="AB24" s="97"/>
      <c r="AC24" s="97"/>
      <c r="AD24" s="97"/>
      <c r="AE24" s="97"/>
      <c r="AF24" s="97"/>
      <c r="AG24" s="97"/>
      <c r="AH24" s="97"/>
      <c r="AI24" s="97"/>
      <c r="AJ24" s="97"/>
      <c r="AK24" s="97"/>
      <c r="AL24" s="97"/>
      <c r="AM24" s="97"/>
      <c r="AN24" s="107"/>
      <c r="AO24" s="108"/>
      <c r="AP24" s="109"/>
      <c r="AQ24" s="104"/>
      <c r="AR24" s="99"/>
      <c r="AS24" s="99"/>
      <c r="AT24" s="99"/>
      <c r="AU24" s="96"/>
      <c r="AV24" s="110"/>
      <c r="AW24" s="137"/>
      <c r="AX24" s="105"/>
    </row>
    <row r="25" customFormat="false" ht="12.75" hidden="false" customHeight="true" outlineLevel="0" collapsed="false">
      <c r="A25" s="163" t="s">
        <v>227</v>
      </c>
      <c r="B25" s="96"/>
      <c r="C25" s="96"/>
      <c r="D25" s="96"/>
      <c r="E25" s="111"/>
      <c r="F25" s="112"/>
      <c r="G25" s="113"/>
      <c r="H25" s="104"/>
      <c r="I25" s="97"/>
      <c r="J25" s="97"/>
      <c r="K25" s="110"/>
      <c r="L25" s="166"/>
      <c r="M25" s="167"/>
      <c r="N25" s="167"/>
      <c r="O25" s="167"/>
      <c r="P25" s="102"/>
      <c r="Q25" s="103"/>
      <c r="R25" s="104"/>
      <c r="S25" s="105"/>
      <c r="T25" s="105"/>
      <c r="U25" s="97"/>
      <c r="V25" s="97"/>
      <c r="W25" s="97"/>
      <c r="X25" s="97"/>
      <c r="Y25" s="97"/>
      <c r="Z25" s="97"/>
      <c r="AA25" s="97"/>
      <c r="AB25" s="97"/>
      <c r="AC25" s="97"/>
      <c r="AD25" s="97"/>
      <c r="AE25" s="97"/>
      <c r="AF25" s="97"/>
      <c r="AG25" s="97"/>
      <c r="AH25" s="97"/>
      <c r="AI25" s="97"/>
      <c r="AJ25" s="97"/>
      <c r="AK25" s="97"/>
      <c r="AL25" s="97"/>
      <c r="AM25" s="97"/>
      <c r="AN25" s="107"/>
      <c r="AO25" s="108"/>
      <c r="AP25" s="109"/>
      <c r="AQ25" s="104"/>
      <c r="AR25" s="99"/>
      <c r="AS25" s="99"/>
      <c r="AT25" s="99"/>
      <c r="AU25" s="96"/>
      <c r="AV25" s="110"/>
      <c r="AW25" s="137"/>
      <c r="AX25" s="105"/>
    </row>
    <row r="26" customFormat="false" ht="12.75" hidden="false" customHeight="true" outlineLevel="0" collapsed="false">
      <c r="A26" s="163" t="s">
        <v>228</v>
      </c>
      <c r="B26" s="96"/>
      <c r="C26" s="96"/>
      <c r="D26" s="96"/>
      <c r="E26" s="111"/>
      <c r="F26" s="112"/>
      <c r="G26" s="113"/>
      <c r="H26" s="104"/>
      <c r="I26" s="97"/>
      <c r="J26" s="97"/>
      <c r="K26" s="110"/>
      <c r="L26" s="166"/>
      <c r="M26" s="167"/>
      <c r="N26" s="167"/>
      <c r="O26" s="167"/>
      <c r="P26" s="102"/>
      <c r="Q26" s="103"/>
      <c r="R26" s="104"/>
      <c r="S26" s="105"/>
      <c r="T26" s="105"/>
      <c r="U26" s="97"/>
      <c r="V26" s="97"/>
      <c r="W26" s="97"/>
      <c r="X26" s="97"/>
      <c r="Y26" s="97"/>
      <c r="Z26" s="97"/>
      <c r="AA26" s="97"/>
      <c r="AB26" s="97"/>
      <c r="AC26" s="97"/>
      <c r="AD26" s="97"/>
      <c r="AE26" s="97"/>
      <c r="AF26" s="97"/>
      <c r="AG26" s="97"/>
      <c r="AH26" s="97"/>
      <c r="AI26" s="97"/>
      <c r="AJ26" s="97"/>
      <c r="AK26" s="97"/>
      <c r="AL26" s="97"/>
      <c r="AM26" s="97"/>
      <c r="AN26" s="107"/>
      <c r="AO26" s="108"/>
      <c r="AP26" s="109"/>
      <c r="AQ26" s="104"/>
      <c r="AR26" s="99"/>
      <c r="AS26" s="99"/>
      <c r="AT26" s="99"/>
      <c r="AU26" s="96"/>
      <c r="AV26" s="110"/>
      <c r="AW26" s="137"/>
      <c r="AX26" s="105"/>
    </row>
    <row r="27" customFormat="false" ht="12.75" hidden="false" customHeight="true" outlineLevel="0" collapsed="false">
      <c r="A27" s="163" t="s">
        <v>229</v>
      </c>
      <c r="B27" s="96"/>
      <c r="C27" s="96"/>
      <c r="D27" s="96"/>
      <c r="E27" s="111"/>
      <c r="F27" s="112"/>
      <c r="G27" s="113"/>
      <c r="H27" s="104"/>
      <c r="I27" s="97"/>
      <c r="J27" s="97"/>
      <c r="K27" s="110"/>
      <c r="L27" s="166"/>
      <c r="M27" s="167"/>
      <c r="N27" s="167"/>
      <c r="O27" s="167"/>
      <c r="P27" s="102"/>
      <c r="Q27" s="103"/>
      <c r="R27" s="104"/>
      <c r="S27" s="105"/>
      <c r="T27" s="105"/>
      <c r="U27" s="97"/>
      <c r="V27" s="97"/>
      <c r="W27" s="97"/>
      <c r="X27" s="97"/>
      <c r="Y27" s="97"/>
      <c r="Z27" s="97"/>
      <c r="AA27" s="97"/>
      <c r="AB27" s="97"/>
      <c r="AC27" s="97"/>
      <c r="AD27" s="97"/>
      <c r="AE27" s="97"/>
      <c r="AF27" s="97"/>
      <c r="AG27" s="97"/>
      <c r="AH27" s="97"/>
      <c r="AI27" s="97"/>
      <c r="AJ27" s="97"/>
      <c r="AK27" s="97"/>
      <c r="AL27" s="97"/>
      <c r="AM27" s="97"/>
      <c r="AN27" s="107"/>
      <c r="AO27" s="108"/>
      <c r="AP27" s="109"/>
      <c r="AQ27" s="104"/>
      <c r="AR27" s="99"/>
      <c r="AS27" s="99"/>
      <c r="AT27" s="99"/>
      <c r="AU27" s="96"/>
      <c r="AV27" s="110"/>
      <c r="AW27" s="137"/>
      <c r="AX27" s="105"/>
    </row>
    <row r="28" customFormat="false" ht="12.75" hidden="false" customHeight="true" outlineLevel="0" collapsed="false">
      <c r="A28" s="163" t="s">
        <v>230</v>
      </c>
      <c r="B28" s="96"/>
      <c r="C28" s="96"/>
      <c r="D28" s="96"/>
      <c r="E28" s="111"/>
      <c r="F28" s="112"/>
      <c r="G28" s="113"/>
      <c r="H28" s="104"/>
      <c r="I28" s="97"/>
      <c r="J28" s="97"/>
      <c r="K28" s="110"/>
      <c r="L28" s="166"/>
      <c r="M28" s="167"/>
      <c r="N28" s="167"/>
      <c r="O28" s="167"/>
      <c r="P28" s="102"/>
      <c r="Q28" s="103"/>
      <c r="R28" s="104"/>
      <c r="S28" s="105"/>
      <c r="T28" s="105"/>
      <c r="U28" s="97"/>
      <c r="V28" s="97"/>
      <c r="W28" s="97"/>
      <c r="X28" s="97"/>
      <c r="Y28" s="97"/>
      <c r="Z28" s="97"/>
      <c r="AA28" s="97"/>
      <c r="AB28" s="97"/>
      <c r="AC28" s="97"/>
      <c r="AD28" s="97"/>
      <c r="AE28" s="97"/>
      <c r="AF28" s="97"/>
      <c r="AG28" s="97"/>
      <c r="AH28" s="97"/>
      <c r="AI28" s="97"/>
      <c r="AJ28" s="97"/>
      <c r="AK28" s="97"/>
      <c r="AL28" s="97"/>
      <c r="AM28" s="97"/>
      <c r="AN28" s="107"/>
      <c r="AO28" s="108"/>
      <c r="AP28" s="109"/>
      <c r="AQ28" s="104"/>
      <c r="AR28" s="99"/>
      <c r="AS28" s="99"/>
      <c r="AT28" s="99"/>
      <c r="AU28" s="96"/>
      <c r="AV28" s="110"/>
      <c r="AW28" s="137"/>
      <c r="AX28" s="105"/>
    </row>
    <row r="29" customFormat="false" ht="12.75" hidden="false" customHeight="true" outlineLevel="0" collapsed="false">
      <c r="A29" s="163" t="s">
        <v>231</v>
      </c>
      <c r="B29" s="96"/>
      <c r="C29" s="96"/>
      <c r="D29" s="96"/>
      <c r="E29" s="111"/>
      <c r="F29" s="112"/>
      <c r="G29" s="113"/>
      <c r="H29" s="104"/>
      <c r="I29" s="97"/>
      <c r="J29" s="97"/>
      <c r="K29" s="110"/>
      <c r="L29" s="166"/>
      <c r="M29" s="167"/>
      <c r="N29" s="167"/>
      <c r="O29" s="167"/>
      <c r="P29" s="102"/>
      <c r="Q29" s="103"/>
      <c r="R29" s="104"/>
      <c r="S29" s="105"/>
      <c r="T29" s="105"/>
      <c r="U29" s="97"/>
      <c r="V29" s="97"/>
      <c r="W29" s="97"/>
      <c r="X29" s="97"/>
      <c r="Y29" s="97"/>
      <c r="Z29" s="97"/>
      <c r="AA29" s="97"/>
      <c r="AB29" s="97"/>
      <c r="AC29" s="97"/>
      <c r="AD29" s="97"/>
      <c r="AE29" s="97"/>
      <c r="AF29" s="97"/>
      <c r="AG29" s="97"/>
      <c r="AH29" s="97"/>
      <c r="AI29" s="97"/>
      <c r="AJ29" s="97"/>
      <c r="AK29" s="97"/>
      <c r="AL29" s="97"/>
      <c r="AM29" s="97"/>
      <c r="AN29" s="107"/>
      <c r="AO29" s="108"/>
      <c r="AP29" s="109"/>
      <c r="AQ29" s="104"/>
      <c r="AR29" s="99"/>
      <c r="AS29" s="99"/>
      <c r="AT29" s="99"/>
      <c r="AU29" s="96"/>
      <c r="AV29" s="110"/>
      <c r="AW29" s="137"/>
      <c r="AX29" s="105"/>
    </row>
    <row r="30" customFormat="false" ht="12.75" hidden="false" customHeight="true" outlineLevel="0" collapsed="false">
      <c r="A30" s="163" t="s">
        <v>232</v>
      </c>
      <c r="B30" s="96"/>
      <c r="C30" s="96"/>
      <c r="D30" s="96"/>
      <c r="E30" s="111"/>
      <c r="F30" s="112"/>
      <c r="G30" s="113"/>
      <c r="H30" s="104"/>
      <c r="I30" s="97"/>
      <c r="J30" s="97"/>
      <c r="K30" s="110"/>
      <c r="L30" s="166"/>
      <c r="M30" s="167"/>
      <c r="N30" s="167"/>
      <c r="O30" s="167"/>
      <c r="P30" s="102"/>
      <c r="Q30" s="103"/>
      <c r="R30" s="104"/>
      <c r="S30" s="105"/>
      <c r="T30" s="105"/>
      <c r="U30" s="97"/>
      <c r="V30" s="97"/>
      <c r="W30" s="97"/>
      <c r="X30" s="97"/>
      <c r="Y30" s="97"/>
      <c r="Z30" s="97"/>
      <c r="AA30" s="97"/>
      <c r="AB30" s="97"/>
      <c r="AC30" s="97"/>
      <c r="AD30" s="97"/>
      <c r="AE30" s="97"/>
      <c r="AF30" s="97"/>
      <c r="AG30" s="97"/>
      <c r="AH30" s="97"/>
      <c r="AI30" s="97"/>
      <c r="AJ30" s="97"/>
      <c r="AK30" s="97"/>
      <c r="AL30" s="97"/>
      <c r="AM30" s="97"/>
      <c r="AN30" s="107"/>
      <c r="AO30" s="108"/>
      <c r="AP30" s="109"/>
      <c r="AQ30" s="104"/>
      <c r="AR30" s="99"/>
      <c r="AS30" s="99"/>
      <c r="AT30" s="99"/>
      <c r="AU30" s="96"/>
      <c r="AV30" s="110"/>
      <c r="AW30" s="137"/>
      <c r="AX30" s="105"/>
    </row>
    <row r="31" customFormat="false" ht="12.75" hidden="false" customHeight="true" outlineLevel="0" collapsed="false">
      <c r="A31" s="163" t="s">
        <v>233</v>
      </c>
      <c r="B31" s="96"/>
      <c r="C31" s="96"/>
      <c r="D31" s="96"/>
      <c r="E31" s="111"/>
      <c r="F31" s="112"/>
      <c r="G31" s="113"/>
      <c r="H31" s="104"/>
      <c r="I31" s="97"/>
      <c r="J31" s="97"/>
      <c r="K31" s="110"/>
      <c r="L31" s="166"/>
      <c r="M31" s="167"/>
      <c r="N31" s="167"/>
      <c r="O31" s="167"/>
      <c r="P31" s="102"/>
      <c r="Q31" s="103"/>
      <c r="R31" s="104"/>
      <c r="S31" s="105"/>
      <c r="T31" s="105"/>
      <c r="U31" s="97"/>
      <c r="V31" s="97"/>
      <c r="W31" s="97"/>
      <c r="X31" s="97"/>
      <c r="Y31" s="97"/>
      <c r="Z31" s="97"/>
      <c r="AA31" s="97"/>
      <c r="AB31" s="97"/>
      <c r="AC31" s="97"/>
      <c r="AD31" s="97"/>
      <c r="AE31" s="97"/>
      <c r="AF31" s="97"/>
      <c r="AG31" s="97"/>
      <c r="AH31" s="97"/>
      <c r="AI31" s="97"/>
      <c r="AJ31" s="97"/>
      <c r="AK31" s="97"/>
      <c r="AL31" s="97"/>
      <c r="AM31" s="97"/>
      <c r="AN31" s="107"/>
      <c r="AO31" s="108"/>
      <c r="AP31" s="109"/>
      <c r="AQ31" s="104"/>
      <c r="AR31" s="99"/>
      <c r="AS31" s="99"/>
      <c r="AT31" s="99"/>
      <c r="AU31" s="96"/>
      <c r="AV31" s="110"/>
      <c r="AW31" s="137"/>
      <c r="AX31" s="105"/>
    </row>
    <row r="32" customFormat="false" ht="12.75" hidden="false" customHeight="true" outlineLevel="0" collapsed="false">
      <c r="A32" s="163" t="s">
        <v>234</v>
      </c>
      <c r="B32" s="96"/>
      <c r="C32" s="96"/>
      <c r="D32" s="96"/>
      <c r="E32" s="111"/>
      <c r="F32" s="112"/>
      <c r="G32" s="113"/>
      <c r="H32" s="104"/>
      <c r="I32" s="97"/>
      <c r="J32" s="97"/>
      <c r="K32" s="110"/>
      <c r="L32" s="166"/>
      <c r="M32" s="167"/>
      <c r="N32" s="167"/>
      <c r="O32" s="167"/>
      <c r="P32" s="102"/>
      <c r="Q32" s="103"/>
      <c r="R32" s="104"/>
      <c r="S32" s="105"/>
      <c r="T32" s="105"/>
      <c r="U32" s="97"/>
      <c r="V32" s="97"/>
      <c r="W32" s="97"/>
      <c r="X32" s="97"/>
      <c r="Y32" s="97"/>
      <c r="Z32" s="97"/>
      <c r="AA32" s="97"/>
      <c r="AB32" s="97"/>
      <c r="AC32" s="97"/>
      <c r="AD32" s="97"/>
      <c r="AE32" s="97"/>
      <c r="AF32" s="97"/>
      <c r="AG32" s="97"/>
      <c r="AH32" s="97"/>
      <c r="AI32" s="97"/>
      <c r="AJ32" s="97"/>
      <c r="AK32" s="97"/>
      <c r="AL32" s="97"/>
      <c r="AM32" s="97"/>
      <c r="AN32" s="107"/>
      <c r="AO32" s="108"/>
      <c r="AP32" s="109"/>
      <c r="AQ32" s="104"/>
      <c r="AR32" s="99"/>
      <c r="AS32" s="99"/>
      <c r="AT32" s="99"/>
      <c r="AU32" s="96"/>
      <c r="AV32" s="110"/>
      <c r="AW32" s="137"/>
      <c r="AX32" s="105"/>
    </row>
    <row r="33" customFormat="false" ht="12.75" hidden="false" customHeight="true" outlineLevel="0" collapsed="false">
      <c r="A33" s="163" t="s">
        <v>235</v>
      </c>
      <c r="B33" s="96"/>
      <c r="C33" s="96"/>
      <c r="D33" s="96"/>
      <c r="E33" s="111"/>
      <c r="F33" s="112"/>
      <c r="G33" s="113"/>
      <c r="H33" s="104"/>
      <c r="I33" s="97"/>
      <c r="J33" s="97"/>
      <c r="K33" s="110"/>
      <c r="L33" s="166"/>
      <c r="M33" s="167"/>
      <c r="N33" s="167"/>
      <c r="O33" s="167"/>
      <c r="P33" s="102"/>
      <c r="Q33" s="103"/>
      <c r="R33" s="104"/>
      <c r="S33" s="105"/>
      <c r="T33" s="105"/>
      <c r="U33" s="97"/>
      <c r="V33" s="97"/>
      <c r="W33" s="97"/>
      <c r="X33" s="97"/>
      <c r="Y33" s="97"/>
      <c r="Z33" s="97"/>
      <c r="AA33" s="97"/>
      <c r="AB33" s="97"/>
      <c r="AC33" s="97"/>
      <c r="AD33" s="97"/>
      <c r="AE33" s="97"/>
      <c r="AF33" s="97"/>
      <c r="AG33" s="97"/>
      <c r="AH33" s="97"/>
      <c r="AI33" s="97"/>
      <c r="AJ33" s="97"/>
      <c r="AK33" s="97"/>
      <c r="AL33" s="97"/>
      <c r="AM33" s="97"/>
      <c r="AN33" s="107"/>
      <c r="AO33" s="108"/>
      <c r="AP33" s="109"/>
      <c r="AQ33" s="104"/>
      <c r="AR33" s="99"/>
      <c r="AS33" s="99"/>
      <c r="AT33" s="99"/>
      <c r="AU33" s="96"/>
      <c r="AV33" s="110"/>
      <c r="AW33" s="137"/>
      <c r="AX33" s="105"/>
    </row>
    <row r="34" customFormat="false" ht="12.75" hidden="false" customHeight="true" outlineLevel="0" collapsed="false">
      <c r="A34" s="163" t="s">
        <v>236</v>
      </c>
      <c r="B34" s="96"/>
      <c r="C34" s="96"/>
      <c r="D34" s="96"/>
      <c r="E34" s="111"/>
      <c r="F34" s="112"/>
      <c r="G34" s="113"/>
      <c r="H34" s="104"/>
      <c r="I34" s="97"/>
      <c r="J34" s="97"/>
      <c r="K34" s="110"/>
      <c r="L34" s="166"/>
      <c r="M34" s="167"/>
      <c r="N34" s="167"/>
      <c r="O34" s="167"/>
      <c r="P34" s="102"/>
      <c r="Q34" s="103"/>
      <c r="R34" s="104"/>
      <c r="S34" s="105"/>
      <c r="T34" s="105"/>
      <c r="U34" s="97"/>
      <c r="V34" s="97"/>
      <c r="W34" s="97"/>
      <c r="X34" s="97"/>
      <c r="Y34" s="97"/>
      <c r="Z34" s="97"/>
      <c r="AA34" s="97"/>
      <c r="AB34" s="97"/>
      <c r="AC34" s="97"/>
      <c r="AD34" s="97"/>
      <c r="AE34" s="97"/>
      <c r="AF34" s="97"/>
      <c r="AG34" s="97"/>
      <c r="AH34" s="97"/>
      <c r="AI34" s="97"/>
      <c r="AJ34" s="97"/>
      <c r="AK34" s="97"/>
      <c r="AL34" s="97"/>
      <c r="AM34" s="97"/>
      <c r="AN34" s="107"/>
      <c r="AO34" s="108"/>
      <c r="AP34" s="109"/>
      <c r="AQ34" s="104"/>
      <c r="AR34" s="99"/>
      <c r="AS34" s="99"/>
      <c r="AT34" s="99"/>
      <c r="AU34" s="96"/>
      <c r="AV34" s="110"/>
      <c r="AW34" s="137"/>
      <c r="AX34" s="105"/>
    </row>
    <row r="35" customFormat="false" ht="12.75" hidden="false" customHeight="true" outlineLevel="0" collapsed="false">
      <c r="A35" s="163" t="s">
        <v>237</v>
      </c>
      <c r="B35" s="96"/>
      <c r="C35" s="96"/>
      <c r="D35" s="96"/>
      <c r="E35" s="111"/>
      <c r="F35" s="112"/>
      <c r="G35" s="113"/>
      <c r="H35" s="104"/>
      <c r="I35" s="97"/>
      <c r="J35" s="97"/>
      <c r="K35" s="110"/>
      <c r="L35" s="166"/>
      <c r="M35" s="167"/>
      <c r="N35" s="167"/>
      <c r="O35" s="167"/>
      <c r="P35" s="102"/>
      <c r="Q35" s="103"/>
      <c r="R35" s="104"/>
      <c r="S35" s="105"/>
      <c r="T35" s="105"/>
      <c r="U35" s="97"/>
      <c r="V35" s="97"/>
      <c r="W35" s="97"/>
      <c r="X35" s="97"/>
      <c r="Y35" s="97"/>
      <c r="Z35" s="97"/>
      <c r="AA35" s="97"/>
      <c r="AB35" s="97"/>
      <c r="AC35" s="97"/>
      <c r="AD35" s="97"/>
      <c r="AE35" s="97"/>
      <c r="AF35" s="97"/>
      <c r="AG35" s="97"/>
      <c r="AH35" s="97"/>
      <c r="AI35" s="97"/>
      <c r="AJ35" s="97"/>
      <c r="AK35" s="97"/>
      <c r="AL35" s="97"/>
      <c r="AM35" s="97"/>
      <c r="AN35" s="107"/>
      <c r="AO35" s="108"/>
      <c r="AP35" s="109"/>
      <c r="AQ35" s="104"/>
      <c r="AR35" s="99"/>
      <c r="AS35" s="99"/>
      <c r="AT35" s="99"/>
      <c r="AU35" s="96"/>
      <c r="AV35" s="110"/>
      <c r="AW35" s="137"/>
      <c r="AX35" s="105"/>
    </row>
    <row r="36" customFormat="false" ht="12.75" hidden="false" customHeight="true" outlineLevel="0" collapsed="false">
      <c r="A36" s="163" t="s">
        <v>238</v>
      </c>
      <c r="B36" s="96"/>
      <c r="C36" s="96"/>
      <c r="D36" s="96"/>
      <c r="E36" s="111"/>
      <c r="F36" s="112"/>
      <c r="G36" s="113"/>
      <c r="H36" s="104"/>
      <c r="I36" s="97"/>
      <c r="J36" s="97"/>
      <c r="K36" s="110"/>
      <c r="L36" s="166"/>
      <c r="M36" s="167"/>
      <c r="N36" s="167"/>
      <c r="O36" s="167"/>
      <c r="P36" s="102"/>
      <c r="Q36" s="103"/>
      <c r="R36" s="104"/>
      <c r="S36" s="105"/>
      <c r="T36" s="105"/>
      <c r="U36" s="97"/>
      <c r="V36" s="97"/>
      <c r="W36" s="97"/>
      <c r="X36" s="97"/>
      <c r="Y36" s="97"/>
      <c r="Z36" s="97"/>
      <c r="AA36" s="97"/>
      <c r="AB36" s="97"/>
      <c r="AC36" s="97"/>
      <c r="AD36" s="97"/>
      <c r="AE36" s="97"/>
      <c r="AF36" s="97"/>
      <c r="AG36" s="97"/>
      <c r="AH36" s="97"/>
      <c r="AI36" s="97"/>
      <c r="AJ36" s="97"/>
      <c r="AK36" s="97"/>
      <c r="AL36" s="97"/>
      <c r="AM36" s="97"/>
      <c r="AN36" s="107"/>
      <c r="AO36" s="108"/>
      <c r="AP36" s="109"/>
      <c r="AQ36" s="104"/>
      <c r="AR36" s="99"/>
      <c r="AS36" s="99"/>
      <c r="AT36" s="99"/>
      <c r="AU36" s="96"/>
      <c r="AV36" s="110"/>
      <c r="AW36" s="137"/>
      <c r="AX36" s="105"/>
    </row>
    <row r="37" customFormat="false" ht="12.75" hidden="false" customHeight="true" outlineLevel="0" collapsed="false">
      <c r="A37" s="168" t="s">
        <v>239</v>
      </c>
      <c r="B37" s="69"/>
      <c r="C37" s="69"/>
      <c r="D37" s="69"/>
      <c r="E37" s="61"/>
      <c r="F37" s="81"/>
      <c r="G37" s="88"/>
      <c r="H37" s="73"/>
      <c r="I37" s="74"/>
      <c r="J37" s="74"/>
      <c r="K37" s="79"/>
      <c r="L37" s="93"/>
      <c r="M37" s="85"/>
      <c r="N37" s="85"/>
      <c r="O37" s="85"/>
      <c r="P37" s="95"/>
      <c r="Q37" s="72"/>
      <c r="R37" s="73"/>
      <c r="S37" s="90" t="n">
        <v>90</v>
      </c>
      <c r="T37" s="80"/>
      <c r="U37" s="74"/>
      <c r="V37" s="74"/>
      <c r="W37" s="74"/>
      <c r="X37" s="74"/>
      <c r="Y37" s="74"/>
      <c r="Z37" s="74"/>
      <c r="AA37" s="74"/>
      <c r="AB37" s="74"/>
      <c r="AC37" s="74"/>
      <c r="AD37" s="74"/>
      <c r="AE37" s="74"/>
      <c r="AF37" s="74"/>
      <c r="AG37" s="74"/>
      <c r="AH37" s="74"/>
      <c r="AI37" s="74"/>
      <c r="AJ37" s="74"/>
      <c r="AK37" s="74"/>
      <c r="AL37" s="74"/>
      <c r="AM37" s="74" t="e">
        <f aca="false">AVERAGE(U37:AC37)</f>
        <v>#DIV/0!</v>
      </c>
      <c r="AN37" s="92" t="n">
        <v>3.67</v>
      </c>
      <c r="AP37" s="75"/>
      <c r="AQ37" s="73" t="n">
        <f aca="false">AN37-(AN37-Q37)*(SIN((S37+AX37)*PI()/180))/(COS(AX37*PI()/180))</f>
        <v>0</v>
      </c>
      <c r="AR37" s="84" t="n">
        <f aca="false">H37+($M$1-M37)-(AN37-Q37)*(COS(S37*PI()/180))*(SIN((T37+13+2.3)*PI()/180))</f>
        <v>633905.233</v>
      </c>
      <c r="AS37" s="84" t="n">
        <f aca="false">I37+($N$1-N37)-(AN37-Q37)*(COS(S37*PI()/180))*(COS((T37+13+2.3)*PI()/180))</f>
        <v>3049240.448</v>
      </c>
      <c r="AT37" s="84" t="n">
        <f aca="false">J37+($O$1-O37)-R37+AN37-(AN37-Q37)*(SIN(S37*PI()/180))-L37</f>
        <v>56.28</v>
      </c>
      <c r="AU37" s="69"/>
      <c r="AV37" s="79"/>
      <c r="AW37" s="93" t="n">
        <f aca="false">AQ35-'Estacas Johnsons'!AQ35</f>
        <v>0</v>
      </c>
      <c r="AX37" s="80"/>
    </row>
    <row r="38" customFormat="false" ht="12.75" hidden="false" customHeight="true" outlineLevel="0" collapsed="false">
      <c r="A38" s="168" t="s">
        <v>240</v>
      </c>
      <c r="B38" s="69"/>
      <c r="C38" s="69"/>
      <c r="D38" s="69"/>
      <c r="E38" s="61"/>
      <c r="F38" s="81"/>
      <c r="G38" s="88"/>
      <c r="H38" s="73"/>
      <c r="I38" s="74"/>
      <c r="J38" s="74"/>
      <c r="K38" s="79"/>
      <c r="L38" s="93"/>
      <c r="M38" s="84"/>
      <c r="N38" s="84"/>
      <c r="O38" s="84"/>
      <c r="P38" s="95"/>
      <c r="Q38" s="72"/>
      <c r="R38" s="73"/>
      <c r="S38" s="90" t="n">
        <v>90</v>
      </c>
      <c r="T38" s="80"/>
      <c r="U38" s="74"/>
      <c r="V38" s="74"/>
      <c r="W38" s="74"/>
      <c r="X38" s="74"/>
      <c r="Y38" s="74"/>
      <c r="Z38" s="74"/>
      <c r="AA38" s="74"/>
      <c r="AB38" s="74"/>
      <c r="AC38" s="74"/>
      <c r="AD38" s="74"/>
      <c r="AE38" s="74"/>
      <c r="AF38" s="74"/>
      <c r="AG38" s="74"/>
      <c r="AH38" s="74"/>
      <c r="AI38" s="74"/>
      <c r="AJ38" s="74"/>
      <c r="AK38" s="74"/>
      <c r="AL38" s="74"/>
      <c r="AM38" s="74" t="e">
        <f aca="false">AVERAGE(U38:AC38)</f>
        <v>#DIV/0!</v>
      </c>
      <c r="AN38" s="92" t="n">
        <v>3.67</v>
      </c>
      <c r="AP38" s="75"/>
      <c r="AQ38" s="73" t="n">
        <f aca="false">AN38-(AN38-Q38)*(SIN((S38+AX38)*PI()/180))/(COS(AX38*PI()/180))</f>
        <v>0</v>
      </c>
      <c r="AR38" s="84" t="n">
        <f aca="false">H38+($M$1-M38)-(AN38-Q38)*(COS(S38*PI()/180))*(SIN((T38+13+2.3)*PI()/180))</f>
        <v>633905.233</v>
      </c>
      <c r="AS38" s="84" t="n">
        <f aca="false">I38+($N$1-N38)-(AN38-Q38)*(COS(S38*PI()/180))*(COS((T38+13+2.3)*PI()/180))</f>
        <v>3049240.448</v>
      </c>
      <c r="AT38" s="84" t="n">
        <f aca="false">J38+($O$1-O38)-R38+AN38-(AN38-Q38)*(SIN(S38*PI()/180))-L38</f>
        <v>56.28</v>
      </c>
      <c r="AU38" s="69"/>
      <c r="AV38" s="79"/>
      <c r="AW38" s="93" t="n">
        <f aca="false">AQ36-'Estacas Johnsons'!AQ36</f>
        <v>0</v>
      </c>
      <c r="AX38" s="80"/>
    </row>
    <row r="39" customFormat="false" ht="12.75" hidden="false" customHeight="true" outlineLevel="0" collapsed="false">
      <c r="A39" s="168" t="s">
        <v>242</v>
      </c>
      <c r="B39" s="69"/>
      <c r="C39" s="69"/>
      <c r="D39" s="69"/>
      <c r="E39" s="61"/>
      <c r="F39" s="81"/>
      <c r="G39" s="88"/>
      <c r="H39" s="73"/>
      <c r="I39" s="74"/>
      <c r="J39" s="74"/>
      <c r="K39" s="79"/>
      <c r="L39" s="93"/>
      <c r="M39" s="84"/>
      <c r="N39" s="84"/>
      <c r="O39" s="84"/>
      <c r="P39" s="95"/>
      <c r="Q39" s="72"/>
      <c r="R39" s="73"/>
      <c r="S39" s="90" t="n">
        <v>90</v>
      </c>
      <c r="T39" s="80"/>
      <c r="U39" s="74"/>
      <c r="V39" s="74"/>
      <c r="W39" s="74"/>
      <c r="X39" s="74"/>
      <c r="Y39" s="74"/>
      <c r="Z39" s="74"/>
      <c r="AA39" s="74"/>
      <c r="AB39" s="74"/>
      <c r="AC39" s="74"/>
      <c r="AD39" s="74"/>
      <c r="AE39" s="74"/>
      <c r="AF39" s="74"/>
      <c r="AG39" s="74"/>
      <c r="AH39" s="74"/>
      <c r="AI39" s="74"/>
      <c r="AJ39" s="74"/>
      <c r="AK39" s="74"/>
      <c r="AL39" s="74"/>
      <c r="AM39" s="74" t="e">
        <f aca="false">AVERAGE(U39:AC39)</f>
        <v>#DIV/0!</v>
      </c>
      <c r="AN39" s="92" t="n">
        <v>3.67</v>
      </c>
      <c r="AP39" s="75"/>
      <c r="AQ39" s="73" t="n">
        <f aca="false">AN39-(AN39-Q39)*(SIN((S39+AX39)*PI()/180))/(COS(AX39*PI()/180))</f>
        <v>0</v>
      </c>
      <c r="AR39" s="84" t="n">
        <f aca="false">H39+($M$1-M39)-(AN39-Q39)*(COS(S39*PI()/180))*(SIN((T39+13+2.3)*PI()/180))</f>
        <v>633905.233</v>
      </c>
      <c r="AS39" s="84" t="n">
        <f aca="false">I39+($N$1-N39)-(AN39-Q39)*(COS(S39*PI()/180))*(COS((T39+13+2.3)*PI()/180))</f>
        <v>3049240.448</v>
      </c>
      <c r="AT39" s="84" t="n">
        <f aca="false">J39+($O$1-O39)-R39+AN39-(AN39-Q39)*(SIN(S39*PI()/180))-L39</f>
        <v>56.28</v>
      </c>
      <c r="AU39" s="69"/>
      <c r="AV39" s="79"/>
      <c r="AW39" s="93" t="n">
        <f aca="false">AQ37-'Estacas Johnsons'!AQ37</f>
        <v>-1.17</v>
      </c>
      <c r="AX39" s="80"/>
    </row>
    <row r="40" customFormat="false" ht="12.75" hidden="false" customHeight="true" outlineLevel="0" collapsed="false">
      <c r="A40" s="168" t="s">
        <v>244</v>
      </c>
      <c r="B40" s="69"/>
      <c r="C40" s="69"/>
      <c r="D40" s="69"/>
      <c r="E40" s="61"/>
      <c r="F40" s="81"/>
      <c r="G40" s="88"/>
      <c r="H40" s="73"/>
      <c r="I40" s="74"/>
      <c r="J40" s="74"/>
      <c r="K40" s="79"/>
      <c r="L40" s="93"/>
      <c r="M40" s="84"/>
      <c r="N40" s="84"/>
      <c r="O40" s="84"/>
      <c r="P40" s="95"/>
      <c r="Q40" s="72"/>
      <c r="R40" s="73"/>
      <c r="S40" s="90" t="n">
        <v>90</v>
      </c>
      <c r="T40" s="80"/>
      <c r="U40" s="74"/>
      <c r="V40" s="74"/>
      <c r="W40" s="74"/>
      <c r="X40" s="74"/>
      <c r="Y40" s="74"/>
      <c r="Z40" s="74"/>
      <c r="AA40" s="74"/>
      <c r="AB40" s="74"/>
      <c r="AC40" s="74"/>
      <c r="AD40" s="74"/>
      <c r="AE40" s="74"/>
      <c r="AF40" s="74"/>
      <c r="AG40" s="74"/>
      <c r="AH40" s="74"/>
      <c r="AI40" s="74"/>
      <c r="AJ40" s="74"/>
      <c r="AK40" s="74"/>
      <c r="AL40" s="74"/>
      <c r="AM40" s="74" t="e">
        <f aca="false">AVERAGE(U40:AC40)</f>
        <v>#DIV/0!</v>
      </c>
      <c r="AN40" s="92" t="n">
        <v>3.67</v>
      </c>
      <c r="AP40" s="75"/>
      <c r="AQ40" s="73" t="n">
        <f aca="false">AN40-(AN40-Q40)*(SIN((S40+AX40)*PI()/180))/(COS(AX40*PI()/180))</f>
        <v>0</v>
      </c>
      <c r="AR40" s="84" t="n">
        <f aca="false">H40+($M$1-M40)-(AN40-Q40)*(COS(S40*PI()/180))*(SIN((T40+13+2.3)*PI()/180))</f>
        <v>633905.233</v>
      </c>
      <c r="AS40" s="84" t="n">
        <f aca="false">I40+($N$1-N40)-(AN40-Q40)*(COS(S40*PI()/180))*(COS((T40+13+2.3)*PI()/180))</f>
        <v>3049240.448</v>
      </c>
      <c r="AT40" s="84" t="n">
        <f aca="false">J40+($O$1-O40)-R40+AN40-(AN40-Q40)*(SIN(S40*PI()/180))-L40</f>
        <v>56.28</v>
      </c>
      <c r="AU40" s="69"/>
      <c r="AV40" s="79"/>
      <c r="AW40" s="93" t="n">
        <f aca="false">AQ38-'Estacas Johnsons'!AQ38</f>
        <v>-1.42</v>
      </c>
      <c r="AX40" s="80"/>
    </row>
    <row r="41" customFormat="false" ht="12.75" hidden="false" customHeight="true" outlineLevel="0" collapsed="false">
      <c r="A41" s="163" t="s">
        <v>246</v>
      </c>
      <c r="B41" s="96"/>
      <c r="C41" s="96"/>
      <c r="D41" s="96"/>
      <c r="E41" s="111"/>
      <c r="F41" s="112"/>
      <c r="G41" s="113"/>
      <c r="H41" s="104"/>
      <c r="I41" s="97"/>
      <c r="J41" s="97"/>
      <c r="K41" s="110"/>
      <c r="L41" s="166"/>
      <c r="M41" s="167"/>
      <c r="N41" s="167"/>
      <c r="O41" s="167"/>
      <c r="P41" s="102"/>
      <c r="Q41" s="103"/>
      <c r="R41" s="104"/>
      <c r="S41" s="105"/>
      <c r="T41" s="105"/>
      <c r="U41" s="97"/>
      <c r="V41" s="97"/>
      <c r="W41" s="97"/>
      <c r="X41" s="97"/>
      <c r="Y41" s="97"/>
      <c r="Z41" s="97"/>
      <c r="AA41" s="97"/>
      <c r="AB41" s="97"/>
      <c r="AC41" s="97"/>
      <c r="AD41" s="97"/>
      <c r="AE41" s="97"/>
      <c r="AF41" s="97"/>
      <c r="AG41" s="97"/>
      <c r="AH41" s="97"/>
      <c r="AI41" s="97"/>
      <c r="AJ41" s="97"/>
      <c r="AK41" s="97"/>
      <c r="AL41" s="97"/>
      <c r="AM41" s="97"/>
      <c r="AN41" s="107"/>
      <c r="AO41" s="108"/>
      <c r="AP41" s="109"/>
      <c r="AQ41" s="104"/>
      <c r="AR41" s="99"/>
      <c r="AS41" s="99"/>
      <c r="AT41" s="99"/>
      <c r="AU41" s="96"/>
      <c r="AV41" s="110"/>
      <c r="AW41" s="137"/>
      <c r="AX41" s="105"/>
    </row>
    <row r="42" customFormat="false" ht="12.75" hidden="false" customHeight="true" outlineLevel="0" collapsed="false">
      <c r="A42" s="168" t="s">
        <v>247</v>
      </c>
      <c r="B42" s="69"/>
      <c r="C42" s="202"/>
      <c r="D42" s="69"/>
      <c r="E42" s="211"/>
      <c r="F42" s="212"/>
      <c r="G42" s="88"/>
      <c r="H42" s="73"/>
      <c r="I42" s="74"/>
      <c r="J42" s="74"/>
      <c r="K42" s="79"/>
      <c r="L42" s="93"/>
      <c r="M42" s="85"/>
      <c r="N42" s="85"/>
      <c r="O42" s="85"/>
      <c r="P42" s="95"/>
      <c r="Q42" s="72"/>
      <c r="R42" s="73"/>
      <c r="S42" s="90" t="n">
        <v>90</v>
      </c>
      <c r="T42" s="80"/>
      <c r="U42" s="74"/>
      <c r="V42" s="74"/>
      <c r="W42" s="74"/>
      <c r="X42" s="74"/>
      <c r="Y42" s="74"/>
      <c r="Z42" s="74"/>
      <c r="AA42" s="74"/>
      <c r="AB42" s="74"/>
      <c r="AC42" s="74"/>
      <c r="AD42" s="74"/>
      <c r="AE42" s="74"/>
      <c r="AF42" s="74"/>
      <c r="AG42" s="74"/>
      <c r="AH42" s="74"/>
      <c r="AI42" s="74"/>
      <c r="AJ42" s="74"/>
      <c r="AK42" s="74"/>
      <c r="AL42" s="74"/>
      <c r="AM42" s="74" t="e">
        <f aca="false">AVERAGE(U42:AC42)</f>
        <v>#DIV/0!</v>
      </c>
      <c r="AN42" s="92" t="n">
        <v>3.67</v>
      </c>
      <c r="AP42" s="75"/>
      <c r="AQ42" s="73" t="n">
        <f aca="false">AN42-(AN42-Q42)*(SIN((S42+AX42)*PI()/180))/(COS(AX42*PI()/180))</f>
        <v>0</v>
      </c>
      <c r="AR42" s="84" t="n">
        <f aca="false">H42+($M$1-M42)-(AN42-Q42)*(COS(S42*PI()/180))*(SIN((T42+13+2.3)*PI()/180))</f>
        <v>633905.233</v>
      </c>
      <c r="AS42" s="84" t="n">
        <f aca="false">I42+($N$1-N42)-(AN42-Q42)*(COS(S42*PI()/180))*(COS((T42+13+2.3)*PI()/180))</f>
        <v>3049240.448</v>
      </c>
      <c r="AT42" s="84" t="n">
        <f aca="false">J42+($O$1-O42)-R42+AN42-(AN42-Q42)*(SIN(S42*PI()/180))-L42</f>
        <v>56.28</v>
      </c>
      <c r="AU42" s="69"/>
      <c r="AV42" s="79"/>
      <c r="AW42" s="93" t="n">
        <f aca="false">AQ40-'Estacas Johnsons'!AQ40</f>
        <v>-1.63</v>
      </c>
      <c r="AX42" s="80"/>
    </row>
    <row r="43" customFormat="false" ht="12.75" hidden="false" customHeight="true" outlineLevel="0" collapsed="false">
      <c r="A43" s="168" t="s">
        <v>248</v>
      </c>
      <c r="B43" s="69"/>
      <c r="C43" s="69"/>
      <c r="D43" s="69"/>
      <c r="E43" s="61"/>
      <c r="F43" s="81"/>
      <c r="G43" s="88"/>
      <c r="H43" s="73"/>
      <c r="I43" s="74"/>
      <c r="J43" s="74"/>
      <c r="K43" s="79"/>
      <c r="L43" s="93"/>
      <c r="M43" s="84"/>
      <c r="N43" s="84"/>
      <c r="O43" s="84"/>
      <c r="P43" s="95"/>
      <c r="Q43" s="72"/>
      <c r="R43" s="73"/>
      <c r="S43" s="90" t="n">
        <v>90</v>
      </c>
      <c r="T43" s="80"/>
      <c r="U43" s="74"/>
      <c r="V43" s="74"/>
      <c r="W43" s="74"/>
      <c r="X43" s="74"/>
      <c r="Y43" s="74"/>
      <c r="Z43" s="74"/>
      <c r="AA43" s="74"/>
      <c r="AB43" s="74"/>
      <c r="AC43" s="74"/>
      <c r="AD43" s="74"/>
      <c r="AE43" s="74"/>
      <c r="AF43" s="74"/>
      <c r="AG43" s="74"/>
      <c r="AH43" s="74"/>
      <c r="AI43" s="74"/>
      <c r="AJ43" s="74"/>
      <c r="AK43" s="74"/>
      <c r="AL43" s="74"/>
      <c r="AM43" s="74" t="e">
        <f aca="false">AVERAGE(U43:AC43)</f>
        <v>#DIV/0!</v>
      </c>
      <c r="AN43" s="92" t="n">
        <v>3.67</v>
      </c>
      <c r="AP43" s="75"/>
      <c r="AQ43" s="73" t="n">
        <f aca="false">AN43-(AN43-Q43)*(SIN((S43+AX43)*PI()/180))/(COS(AX43*PI()/180))</f>
        <v>0</v>
      </c>
      <c r="AR43" s="84" t="n">
        <f aca="false">H43+($M$1-M43)-(AN43-Q43)*(COS(S43*PI()/180))*(SIN((T43+13+2.3)*PI()/180))</f>
        <v>633905.233</v>
      </c>
      <c r="AS43" s="84" t="n">
        <f aca="false">I43+($N$1-N43)-(AN43-Q43)*(COS(S43*PI()/180))*(COS((T43+13+2.3)*PI()/180))</f>
        <v>3049240.448</v>
      </c>
      <c r="AT43" s="84" t="n">
        <f aca="false">J43+($O$1-O43)-R43+AN43-(AN43-Q43)*(SIN(S43*PI()/180))-L43</f>
        <v>56.28</v>
      </c>
      <c r="AU43" s="69"/>
      <c r="AV43" s="79"/>
      <c r="AW43" s="93" t="n">
        <f aca="false">AQ41-'Estacas Johnsons'!AQ41</f>
        <v>0</v>
      </c>
      <c r="AX43" s="80"/>
    </row>
    <row r="44" customFormat="false" ht="12.75" hidden="false" customHeight="true" outlineLevel="0" collapsed="false">
      <c r="A44" s="163" t="s">
        <v>250</v>
      </c>
      <c r="B44" s="96"/>
      <c r="C44" s="96"/>
      <c r="D44" s="96"/>
      <c r="E44" s="111"/>
      <c r="F44" s="112"/>
      <c r="G44" s="113"/>
      <c r="H44" s="104"/>
      <c r="I44" s="97"/>
      <c r="J44" s="97"/>
      <c r="K44" s="110"/>
      <c r="L44" s="166"/>
      <c r="M44" s="167"/>
      <c r="N44" s="167"/>
      <c r="O44" s="167"/>
      <c r="P44" s="102"/>
      <c r="Q44" s="103"/>
      <c r="R44" s="104"/>
      <c r="S44" s="105"/>
      <c r="T44" s="105"/>
      <c r="U44" s="97"/>
      <c r="V44" s="97"/>
      <c r="W44" s="97"/>
      <c r="X44" s="97"/>
      <c r="Y44" s="97"/>
      <c r="Z44" s="97"/>
      <c r="AA44" s="97"/>
      <c r="AB44" s="97"/>
      <c r="AC44" s="97"/>
      <c r="AD44" s="97"/>
      <c r="AE44" s="97"/>
      <c r="AF44" s="97"/>
      <c r="AG44" s="97"/>
      <c r="AH44" s="97"/>
      <c r="AI44" s="97"/>
      <c r="AJ44" s="97"/>
      <c r="AK44" s="97"/>
      <c r="AL44" s="97"/>
      <c r="AM44" s="97"/>
      <c r="AN44" s="107"/>
      <c r="AO44" s="108"/>
      <c r="AP44" s="109"/>
      <c r="AQ44" s="104"/>
      <c r="AR44" s="99"/>
      <c r="AS44" s="99"/>
      <c r="AT44" s="99"/>
      <c r="AU44" s="96"/>
      <c r="AV44" s="110"/>
      <c r="AW44" s="137"/>
      <c r="AX44" s="105"/>
    </row>
    <row r="45" customFormat="false" ht="12.75" hidden="false" customHeight="true" outlineLevel="0" collapsed="false">
      <c r="A45" s="163" t="s">
        <v>251</v>
      </c>
      <c r="B45" s="96"/>
      <c r="C45" s="96"/>
      <c r="D45" s="96"/>
      <c r="E45" s="111"/>
      <c r="F45" s="112"/>
      <c r="G45" s="113"/>
      <c r="H45" s="104"/>
      <c r="I45" s="97"/>
      <c r="J45" s="97"/>
      <c r="K45" s="110"/>
      <c r="L45" s="166"/>
      <c r="M45" s="167"/>
      <c r="N45" s="167"/>
      <c r="O45" s="167"/>
      <c r="P45" s="102"/>
      <c r="Q45" s="103"/>
      <c r="R45" s="104"/>
      <c r="S45" s="105"/>
      <c r="T45" s="105"/>
      <c r="U45" s="97"/>
      <c r="V45" s="97"/>
      <c r="W45" s="97"/>
      <c r="X45" s="97"/>
      <c r="Y45" s="97"/>
      <c r="Z45" s="97"/>
      <c r="AA45" s="97"/>
      <c r="AB45" s="97"/>
      <c r="AC45" s="97"/>
      <c r="AD45" s="97"/>
      <c r="AE45" s="97"/>
      <c r="AF45" s="97"/>
      <c r="AG45" s="97"/>
      <c r="AH45" s="97"/>
      <c r="AI45" s="97"/>
      <c r="AJ45" s="97"/>
      <c r="AK45" s="97"/>
      <c r="AL45" s="97"/>
      <c r="AM45" s="97"/>
      <c r="AN45" s="107"/>
      <c r="AO45" s="108"/>
      <c r="AP45" s="109"/>
      <c r="AQ45" s="104"/>
      <c r="AR45" s="99"/>
      <c r="AS45" s="99"/>
      <c r="AT45" s="99"/>
      <c r="AU45" s="96"/>
      <c r="AV45" s="110"/>
      <c r="AW45" s="137"/>
      <c r="AX45" s="105"/>
    </row>
    <row r="46" customFormat="false" ht="12.75" hidden="false" customHeight="true" outlineLevel="0" collapsed="false">
      <c r="A46" s="168" t="s">
        <v>252</v>
      </c>
      <c r="B46" s="69"/>
      <c r="C46" s="69"/>
      <c r="D46" s="69"/>
      <c r="E46" s="61"/>
      <c r="F46" s="81"/>
      <c r="G46" s="88"/>
      <c r="H46" s="73"/>
      <c r="I46" s="74"/>
      <c r="J46" s="74"/>
      <c r="K46" s="79"/>
      <c r="L46" s="93"/>
      <c r="M46" s="85"/>
      <c r="N46" s="85"/>
      <c r="O46" s="85"/>
      <c r="P46" s="95"/>
      <c r="Q46" s="72"/>
      <c r="R46" s="73"/>
      <c r="S46" s="90" t="n">
        <v>90</v>
      </c>
      <c r="T46" s="80"/>
      <c r="U46" s="74"/>
      <c r="V46" s="74"/>
      <c r="W46" s="74"/>
      <c r="X46" s="74"/>
      <c r="Y46" s="74"/>
      <c r="Z46" s="74"/>
      <c r="AA46" s="74"/>
      <c r="AB46" s="74"/>
      <c r="AC46" s="74"/>
      <c r="AD46" s="74"/>
      <c r="AE46" s="74"/>
      <c r="AF46" s="74"/>
      <c r="AG46" s="74"/>
      <c r="AH46" s="74"/>
      <c r="AI46" s="74"/>
      <c r="AJ46" s="74"/>
      <c r="AK46" s="74"/>
      <c r="AL46" s="74"/>
      <c r="AM46" s="74" t="e">
        <f aca="false">AVERAGE(U46:AC46)</f>
        <v>#DIV/0!</v>
      </c>
      <c r="AN46" s="92" t="n">
        <v>3.67</v>
      </c>
      <c r="AP46" s="75"/>
      <c r="AQ46" s="73" t="n">
        <f aca="false">AN46-(AN46-Q46)*(SIN((S46+AX46)*PI()/180))/(COS(AX46*PI()/180))</f>
        <v>0</v>
      </c>
      <c r="AR46" s="84" t="n">
        <f aca="false">H46+($M$1-M46)-(AN46-Q46)*(COS(S46*PI()/180))*(SIN((T46+13+2.3)*PI()/180))</f>
        <v>633905.233</v>
      </c>
      <c r="AS46" s="84" t="n">
        <f aca="false">I46+($N$1-N46)-(AN46-Q46)*(COS(S46*PI()/180))*(COS((T46+13+2.3)*PI()/180))</f>
        <v>3049240.448</v>
      </c>
      <c r="AT46" s="84" t="n">
        <f aca="false">J46+($O$1-O46)-R46+AN46-(AN46-Q46)*(SIN(S46*PI()/180))-L46</f>
        <v>56.28</v>
      </c>
      <c r="AU46" s="69"/>
      <c r="AV46" s="79"/>
      <c r="AW46" s="93" t="n">
        <f aca="false">AQ44-'Estacas Johnsons'!AQ44</f>
        <v>0</v>
      </c>
      <c r="AX46" s="80"/>
    </row>
    <row r="47" customFormat="false" ht="12.75" hidden="false" customHeight="true" outlineLevel="0" collapsed="false">
      <c r="A47" s="168" t="s">
        <v>253</v>
      </c>
      <c r="B47" s="69"/>
      <c r="C47" s="69"/>
      <c r="D47" s="69"/>
      <c r="E47" s="61"/>
      <c r="F47" s="81"/>
      <c r="G47" s="88"/>
      <c r="H47" s="73"/>
      <c r="I47" s="74"/>
      <c r="J47" s="74"/>
      <c r="K47" s="79"/>
      <c r="L47" s="93"/>
      <c r="M47" s="85"/>
      <c r="N47" s="85"/>
      <c r="O47" s="85"/>
      <c r="P47" s="95"/>
      <c r="Q47" s="72"/>
      <c r="R47" s="73"/>
      <c r="S47" s="90" t="n">
        <v>90</v>
      </c>
      <c r="T47" s="80"/>
      <c r="U47" s="74"/>
      <c r="V47" s="74"/>
      <c r="W47" s="74"/>
      <c r="X47" s="74"/>
      <c r="Y47" s="74"/>
      <c r="Z47" s="74"/>
      <c r="AA47" s="74"/>
      <c r="AB47" s="74"/>
      <c r="AC47" s="74"/>
      <c r="AD47" s="74"/>
      <c r="AE47" s="74"/>
      <c r="AF47" s="74"/>
      <c r="AG47" s="74"/>
      <c r="AH47" s="74"/>
      <c r="AI47" s="74"/>
      <c r="AJ47" s="74"/>
      <c r="AK47" s="74"/>
      <c r="AL47" s="74"/>
      <c r="AM47" s="74" t="e">
        <f aca="false">AVERAGE(U47:AC47)</f>
        <v>#DIV/0!</v>
      </c>
      <c r="AN47" s="92" t="n">
        <v>3.67</v>
      </c>
      <c r="AP47" s="75"/>
      <c r="AQ47" s="73" t="n">
        <f aca="false">AN47-(AN47-Q47)*(SIN((S47+AX47)*PI()/180))/(COS(AX47*PI()/180))</f>
        <v>0</v>
      </c>
      <c r="AR47" s="84" t="n">
        <f aca="false">H47+($M$1-M47)-(AN47-Q47)*(COS(S47*PI()/180))*(SIN((T47+13+2.3)*PI()/180))</f>
        <v>633905.233</v>
      </c>
      <c r="AS47" s="84" t="n">
        <f aca="false">I47+($N$1-N47)-(AN47-Q47)*(COS(S47*PI()/180))*(COS((T47+13+2.3)*PI()/180))</f>
        <v>3049240.448</v>
      </c>
      <c r="AT47" s="84" t="n">
        <f aca="false">J47+($O$1-O47)-R47+AN47-(AN47-Q47)*(SIN(S47*PI()/180))-L47</f>
        <v>56.28</v>
      </c>
      <c r="AU47" s="69"/>
      <c r="AV47" s="79"/>
      <c r="AW47" s="93" t="n">
        <f aca="false">AQ45-'Estacas Johnsons'!AQ45</f>
        <v>0</v>
      </c>
      <c r="AX47" s="80"/>
    </row>
    <row r="48" customFormat="false" ht="12.75" hidden="false" customHeight="true" outlineLevel="0" collapsed="false">
      <c r="A48" s="96" t="s">
        <v>256</v>
      </c>
      <c r="B48" s="96"/>
      <c r="C48" s="96"/>
      <c r="D48" s="96"/>
      <c r="E48" s="96"/>
      <c r="F48" s="96"/>
      <c r="G48" s="113"/>
      <c r="H48" s="104"/>
      <c r="I48" s="97"/>
      <c r="J48" s="97"/>
      <c r="K48" s="110"/>
      <c r="L48" s="104"/>
      <c r="M48" s="96"/>
      <c r="N48" s="96"/>
      <c r="O48" s="96"/>
      <c r="P48" s="192"/>
      <c r="Q48" s="103"/>
      <c r="R48" s="104"/>
      <c r="S48" s="96"/>
      <c r="T48" s="96"/>
      <c r="U48" s="96"/>
      <c r="V48" s="96"/>
      <c r="W48" s="96"/>
      <c r="X48" s="96"/>
      <c r="Y48" s="96"/>
      <c r="Z48" s="96"/>
      <c r="AA48" s="96"/>
      <c r="AB48" s="96"/>
      <c r="AC48" s="96"/>
      <c r="AD48" s="96"/>
      <c r="AE48" s="96"/>
      <c r="AF48" s="96"/>
      <c r="AG48" s="96"/>
      <c r="AH48" s="96"/>
      <c r="AI48" s="96"/>
      <c r="AJ48" s="96"/>
      <c r="AK48" s="96"/>
      <c r="AL48" s="96"/>
      <c r="AM48" s="96"/>
      <c r="AN48" s="193"/>
      <c r="AO48" s="192"/>
      <c r="AP48" s="96"/>
      <c r="AQ48" s="96"/>
      <c r="AR48" s="96"/>
      <c r="AS48" s="96"/>
      <c r="AT48" s="96"/>
      <c r="AU48" s="96"/>
      <c r="AV48" s="96"/>
      <c r="AW48" s="137"/>
      <c r="AX48" s="105"/>
    </row>
    <row r="49" customFormat="false" ht="12.75" hidden="false" customHeight="true" outlineLevel="0" collapsed="false">
      <c r="A49" s="96" t="s">
        <v>257</v>
      </c>
      <c r="B49" s="96"/>
      <c r="C49" s="96"/>
      <c r="D49" s="96"/>
      <c r="E49" s="96"/>
      <c r="F49" s="96"/>
      <c r="G49" s="113"/>
      <c r="H49" s="104"/>
      <c r="I49" s="97"/>
      <c r="J49" s="97"/>
      <c r="K49" s="110"/>
      <c r="L49" s="104"/>
      <c r="M49" s="96"/>
      <c r="N49" s="96"/>
      <c r="O49" s="96"/>
      <c r="P49" s="192"/>
      <c r="Q49" s="103"/>
      <c r="R49" s="104"/>
      <c r="S49" s="96"/>
      <c r="T49" s="96"/>
      <c r="U49" s="96"/>
      <c r="V49" s="96"/>
      <c r="W49" s="96"/>
      <c r="X49" s="96"/>
      <c r="Y49" s="96"/>
      <c r="Z49" s="96"/>
      <c r="AA49" s="96"/>
      <c r="AB49" s="96"/>
      <c r="AC49" s="96"/>
      <c r="AD49" s="96"/>
      <c r="AE49" s="96"/>
      <c r="AF49" s="96"/>
      <c r="AG49" s="96"/>
      <c r="AH49" s="96"/>
      <c r="AI49" s="96"/>
      <c r="AJ49" s="96"/>
      <c r="AK49" s="96"/>
      <c r="AL49" s="96"/>
      <c r="AM49" s="96"/>
      <c r="AN49" s="193"/>
      <c r="AO49" s="192"/>
      <c r="AP49" s="96"/>
      <c r="AQ49" s="96"/>
      <c r="AR49" s="96"/>
      <c r="AS49" s="96"/>
      <c r="AT49" s="96"/>
      <c r="AU49" s="96"/>
      <c r="AV49" s="96"/>
      <c r="AW49" s="137"/>
      <c r="AX49" s="105"/>
    </row>
    <row r="50" customFormat="false" ht="12.75" hidden="false" customHeight="true" outlineLevel="0" collapsed="false">
      <c r="A50" s="168" t="s">
        <v>258</v>
      </c>
      <c r="B50" s="69"/>
      <c r="C50" s="69"/>
      <c r="D50" s="69"/>
      <c r="E50" s="61"/>
      <c r="F50" s="81"/>
      <c r="G50" s="88"/>
      <c r="H50" s="73"/>
      <c r="I50" s="74"/>
      <c r="J50" s="74"/>
      <c r="K50" s="79"/>
      <c r="L50" s="93"/>
      <c r="M50" s="84"/>
      <c r="N50" s="84"/>
      <c r="O50" s="84"/>
      <c r="P50" s="95"/>
      <c r="Q50" s="72"/>
      <c r="R50" s="73"/>
      <c r="S50" s="90" t="n">
        <v>90</v>
      </c>
      <c r="T50" s="80"/>
      <c r="U50" s="74"/>
      <c r="V50" s="74"/>
      <c r="W50" s="74"/>
      <c r="X50" s="74"/>
      <c r="Y50" s="74"/>
      <c r="Z50" s="74"/>
      <c r="AA50" s="74"/>
      <c r="AB50" s="74"/>
      <c r="AC50" s="74"/>
      <c r="AD50" s="74"/>
      <c r="AE50" s="74"/>
      <c r="AF50" s="74"/>
      <c r="AG50" s="74"/>
      <c r="AH50" s="74"/>
      <c r="AI50" s="74"/>
      <c r="AJ50" s="74"/>
      <c r="AK50" s="74"/>
      <c r="AL50" s="74"/>
      <c r="AM50" s="74" t="e">
        <f aca="false">AVERAGE(U50:AC50)</f>
        <v>#DIV/0!</v>
      </c>
      <c r="AN50" s="92" t="n">
        <v>3.67</v>
      </c>
      <c r="AP50" s="75"/>
      <c r="AQ50" s="73" t="n">
        <f aca="false">AN50-(AN50-Q50)*(SIN((S50+AX50)*PI()/180))/(COS(AX50*PI()/180))</f>
        <v>0</v>
      </c>
      <c r="AR50" s="84" t="n">
        <f aca="false">H50+($M$1-M50)-(AN50-Q50)*(COS(S50*PI()/180))*(SIN((T50+13+2.3)*PI()/180))</f>
        <v>633905.233</v>
      </c>
      <c r="AS50" s="84" t="n">
        <f aca="false">I50+($N$1-N50)-(AN50-Q50)*(COS(S50*PI()/180))*(COS((T50+13+2.3)*PI()/180))</f>
        <v>3049240.448</v>
      </c>
      <c r="AT50" s="84" t="n">
        <f aca="false">J50+($O$1-O50)-R50+AN50-(AN50-Q50)*(SIN(S50*PI()/180))-L50</f>
        <v>56.28</v>
      </c>
      <c r="AU50" s="69"/>
      <c r="AV50" s="79"/>
      <c r="AW50" s="93" t="n">
        <f aca="false">AQ48-'Estacas Johnsons'!AQ48</f>
        <v>0</v>
      </c>
      <c r="AX50" s="80"/>
    </row>
    <row r="51" customFormat="false" ht="12.75" hidden="false" customHeight="true" outlineLevel="0" collapsed="false">
      <c r="A51" s="168" t="s">
        <v>260</v>
      </c>
      <c r="B51" s="69"/>
      <c r="C51" s="69"/>
      <c r="D51" s="69"/>
      <c r="E51" s="81"/>
      <c r="F51" s="81"/>
      <c r="G51" s="88"/>
      <c r="H51" s="73"/>
      <c r="I51" s="74"/>
      <c r="J51" s="74"/>
      <c r="K51" s="79"/>
      <c r="L51" s="93"/>
      <c r="M51" s="85"/>
      <c r="N51" s="85"/>
      <c r="O51" s="85"/>
      <c r="P51" s="95"/>
      <c r="Q51" s="72"/>
      <c r="R51" s="73"/>
      <c r="S51" s="90" t="n">
        <v>90</v>
      </c>
      <c r="T51" s="80"/>
      <c r="U51" s="74"/>
      <c r="V51" s="74"/>
      <c r="W51" s="74"/>
      <c r="X51" s="74"/>
      <c r="Y51" s="74"/>
      <c r="Z51" s="74"/>
      <c r="AA51" s="74"/>
      <c r="AB51" s="74"/>
      <c r="AC51" s="74"/>
      <c r="AD51" s="74"/>
      <c r="AE51" s="74"/>
      <c r="AF51" s="74"/>
      <c r="AG51" s="74"/>
      <c r="AH51" s="74"/>
      <c r="AI51" s="74"/>
      <c r="AJ51" s="74"/>
      <c r="AK51" s="74"/>
      <c r="AL51" s="74"/>
      <c r="AM51" s="74" t="e">
        <f aca="false">AVERAGE(U51:AC51)</f>
        <v>#DIV/0!</v>
      </c>
      <c r="AN51" s="92" t="n">
        <v>3.67</v>
      </c>
      <c r="AP51" s="75"/>
      <c r="AQ51" s="73" t="n">
        <f aca="false">AN51-(AN51-Q51)*(SIN((S51+AX51)*PI()/180))/(COS(AX51*PI()/180))</f>
        <v>0</v>
      </c>
      <c r="AR51" s="84" t="n">
        <f aca="false">H51+($M$1-M51)-(AN51-Q51)*(COS(S51*PI()/180))*(SIN((T51+13+2.3)*PI()/180))</f>
        <v>633905.233</v>
      </c>
      <c r="AS51" s="84" t="n">
        <f aca="false">I51+($N$1-N51)-(AN51-Q51)*(COS(S51*PI()/180))*(COS((T51+13+2.3)*PI()/180))</f>
        <v>3049240.448</v>
      </c>
      <c r="AT51" s="84" t="n">
        <f aca="false">J51+($O$1-O51)-R51+AN51-(AN51-Q51)*(SIN(S51*PI()/180))-L51</f>
        <v>56.28</v>
      </c>
      <c r="AU51" s="69"/>
      <c r="AV51" s="79"/>
      <c r="AW51" s="93" t="n">
        <f aca="false">AQ49-'Estacas Johnsons'!AQ49</f>
        <v>0</v>
      </c>
      <c r="AX51" s="80"/>
    </row>
    <row r="52" customFormat="false" ht="12.75" hidden="false" customHeight="true" outlineLevel="0" collapsed="false">
      <c r="A52" s="163" t="s">
        <v>262</v>
      </c>
      <c r="B52" s="96"/>
      <c r="C52" s="96"/>
      <c r="D52" s="96"/>
      <c r="E52" s="111"/>
      <c r="F52" s="112"/>
      <c r="G52" s="113"/>
      <c r="H52" s="104"/>
      <c r="I52" s="97"/>
      <c r="J52" s="97"/>
      <c r="K52" s="110"/>
      <c r="L52" s="166"/>
      <c r="M52" s="167"/>
      <c r="N52" s="167"/>
      <c r="O52" s="167"/>
      <c r="P52" s="102"/>
      <c r="Q52" s="103"/>
      <c r="R52" s="104"/>
      <c r="S52" s="105"/>
      <c r="T52" s="105"/>
      <c r="U52" s="97"/>
      <c r="V52" s="97"/>
      <c r="W52" s="97"/>
      <c r="X52" s="97"/>
      <c r="Y52" s="97"/>
      <c r="Z52" s="97"/>
      <c r="AA52" s="97"/>
      <c r="AB52" s="97"/>
      <c r="AC52" s="97"/>
      <c r="AD52" s="97"/>
      <c r="AE52" s="97"/>
      <c r="AF52" s="97"/>
      <c r="AG52" s="97"/>
      <c r="AH52" s="97"/>
      <c r="AI52" s="97"/>
      <c r="AJ52" s="97"/>
      <c r="AK52" s="97"/>
      <c r="AL52" s="97"/>
      <c r="AM52" s="97"/>
      <c r="AN52" s="193"/>
      <c r="AO52" s="108"/>
      <c r="AP52" s="109"/>
      <c r="AQ52" s="104"/>
      <c r="AR52" s="99"/>
      <c r="AS52" s="99"/>
      <c r="AT52" s="99"/>
      <c r="AU52" s="96"/>
      <c r="AV52" s="110"/>
      <c r="AW52" s="137"/>
      <c r="AX52" s="105"/>
    </row>
    <row r="53" customFormat="false" ht="12.75" hidden="false" customHeight="true" outlineLevel="0" collapsed="false">
      <c r="A53" s="194" t="s">
        <v>263</v>
      </c>
      <c r="B53" s="96"/>
      <c r="C53" s="96"/>
      <c r="D53" s="96"/>
      <c r="E53" s="111"/>
      <c r="F53" s="112"/>
      <c r="G53" s="113"/>
      <c r="H53" s="104"/>
      <c r="I53" s="97"/>
      <c r="J53" s="97"/>
      <c r="K53" s="110"/>
      <c r="L53" s="166"/>
      <c r="M53" s="167"/>
      <c r="N53" s="167"/>
      <c r="O53" s="167"/>
      <c r="P53" s="102"/>
      <c r="Q53" s="103"/>
      <c r="R53" s="104"/>
      <c r="S53" s="105"/>
      <c r="T53" s="105"/>
      <c r="U53" s="97"/>
      <c r="V53" s="97"/>
      <c r="W53" s="97"/>
      <c r="X53" s="97"/>
      <c r="Y53" s="97"/>
      <c r="Z53" s="97"/>
      <c r="AA53" s="97"/>
      <c r="AB53" s="97"/>
      <c r="AC53" s="97"/>
      <c r="AD53" s="97"/>
      <c r="AE53" s="97"/>
      <c r="AF53" s="97"/>
      <c r="AG53" s="97"/>
      <c r="AH53" s="97"/>
      <c r="AI53" s="97"/>
      <c r="AJ53" s="97"/>
      <c r="AK53" s="97"/>
      <c r="AL53" s="97"/>
      <c r="AM53" s="97"/>
      <c r="AN53" s="193"/>
      <c r="AO53" s="108"/>
      <c r="AP53" s="109"/>
      <c r="AQ53" s="104"/>
      <c r="AR53" s="99"/>
      <c r="AS53" s="99"/>
      <c r="AT53" s="99"/>
      <c r="AU53" s="96"/>
      <c r="AV53" s="110"/>
      <c r="AW53" s="137"/>
      <c r="AX53" s="105"/>
    </row>
    <row r="54" customFormat="false" ht="12.75" hidden="false" customHeight="true" outlineLevel="0" collapsed="false">
      <c r="A54" s="96" t="s">
        <v>264</v>
      </c>
      <c r="B54" s="96"/>
      <c r="C54" s="96"/>
      <c r="D54" s="96"/>
      <c r="E54" s="96"/>
      <c r="F54" s="96"/>
      <c r="G54" s="113"/>
      <c r="H54" s="104"/>
      <c r="I54" s="97"/>
      <c r="J54" s="97"/>
      <c r="K54" s="110"/>
      <c r="L54" s="104"/>
      <c r="M54" s="96"/>
      <c r="N54" s="96"/>
      <c r="O54" s="96"/>
      <c r="P54" s="192"/>
      <c r="Q54" s="103"/>
      <c r="R54" s="104"/>
      <c r="S54" s="96"/>
      <c r="T54" s="96"/>
      <c r="U54" s="96"/>
      <c r="V54" s="96"/>
      <c r="W54" s="96"/>
      <c r="X54" s="96"/>
      <c r="Y54" s="96"/>
      <c r="Z54" s="96"/>
      <c r="AA54" s="96"/>
      <c r="AB54" s="96"/>
      <c r="AC54" s="96"/>
      <c r="AD54" s="96"/>
      <c r="AE54" s="96"/>
      <c r="AF54" s="96"/>
      <c r="AG54" s="96"/>
      <c r="AH54" s="96"/>
      <c r="AI54" s="96"/>
      <c r="AJ54" s="96"/>
      <c r="AK54" s="96"/>
      <c r="AL54" s="96"/>
      <c r="AM54" s="96"/>
      <c r="AN54" s="193"/>
      <c r="AO54" s="192"/>
      <c r="AP54" s="96"/>
      <c r="AQ54" s="96"/>
      <c r="AR54" s="96"/>
      <c r="AS54" s="96"/>
      <c r="AT54" s="96"/>
      <c r="AU54" s="96"/>
      <c r="AV54" s="96"/>
      <c r="AW54" s="137"/>
      <c r="AX54" s="105"/>
    </row>
    <row r="55" customFormat="false" ht="13.5" hidden="false" customHeight="true" outlineLevel="0" collapsed="false">
      <c r="A55" s="60" t="s">
        <v>265</v>
      </c>
      <c r="B55" s="69"/>
      <c r="C55" s="69"/>
      <c r="D55" s="69"/>
      <c r="E55" s="61"/>
      <c r="F55" s="81"/>
      <c r="G55" s="88"/>
      <c r="H55" s="73"/>
      <c r="I55" s="74"/>
      <c r="J55" s="74"/>
      <c r="K55" s="79"/>
      <c r="L55" s="93"/>
      <c r="M55" s="85"/>
      <c r="N55" s="85"/>
      <c r="O55" s="85"/>
      <c r="P55" s="95"/>
      <c r="Q55" s="72"/>
      <c r="R55" s="73"/>
      <c r="S55" s="90" t="n">
        <v>90</v>
      </c>
      <c r="T55" s="80"/>
      <c r="U55" s="74"/>
      <c r="V55" s="74"/>
      <c r="W55" s="74"/>
      <c r="X55" s="74"/>
      <c r="Y55" s="74"/>
      <c r="Z55" s="74"/>
      <c r="AA55" s="74"/>
      <c r="AB55" s="74"/>
      <c r="AC55" s="74"/>
      <c r="AD55" s="74"/>
      <c r="AE55" s="74"/>
      <c r="AF55" s="74"/>
      <c r="AG55" s="74"/>
      <c r="AH55" s="74"/>
      <c r="AI55" s="74"/>
      <c r="AJ55" s="74"/>
      <c r="AK55" s="74"/>
      <c r="AL55" s="74"/>
      <c r="AM55" s="74" t="e">
        <f aca="false">AVERAGE(U55:AC55)</f>
        <v>#DIV/0!</v>
      </c>
      <c r="AN55" s="92" t="n">
        <v>3.67</v>
      </c>
      <c r="AP55" s="75"/>
      <c r="AQ55" s="73" t="n">
        <f aca="false">AN55-(AN55-Q55)*(SIN((S55+AX55)*PI()/180))/(COS(AX55*PI()/180))</f>
        <v>0</v>
      </c>
      <c r="AR55" s="84" t="n">
        <f aca="false">H55+($M$1-M55)-(AN55-Q55)*(COS(S55*PI()/180))*(SIN((T55+13+2.3)*PI()/180))</f>
        <v>633905.233</v>
      </c>
      <c r="AS55" s="84" t="n">
        <f aca="false">I55+($N$1-N55)-(AN55-Q55)*(COS(S55*PI()/180))*(COS((T55+13+2.3)*PI()/180))</f>
        <v>3049240.448</v>
      </c>
      <c r="AT55" s="84" t="n">
        <f aca="false">J55+($O$1-O55)-R55+AN55-(AN55-Q55)*(SIN(S55*PI()/180))-L55</f>
        <v>56.28</v>
      </c>
      <c r="AU55" s="69"/>
      <c r="AV55" s="79"/>
      <c r="AW55" s="93" t="n">
        <f aca="false">AQ53-'Estacas Johnsons'!AQ53</f>
        <v>0</v>
      </c>
      <c r="AX55" s="80"/>
    </row>
    <row r="56" customFormat="false" ht="12.75" hidden="false" customHeight="true" outlineLevel="0" collapsed="false">
      <c r="A56" s="194" t="s">
        <v>266</v>
      </c>
      <c r="B56" s="96"/>
      <c r="C56" s="96"/>
      <c r="D56" s="96"/>
      <c r="E56" s="111"/>
      <c r="F56" s="112"/>
      <c r="G56" s="113"/>
      <c r="H56" s="104"/>
      <c r="I56" s="97"/>
      <c r="J56" s="97"/>
      <c r="K56" s="110"/>
      <c r="L56" s="166"/>
      <c r="M56" s="167"/>
      <c r="N56" s="167"/>
      <c r="O56" s="167"/>
      <c r="P56" s="110"/>
      <c r="Q56" s="103"/>
      <c r="R56" s="104"/>
      <c r="S56" s="105"/>
      <c r="T56" s="105"/>
      <c r="U56" s="97"/>
      <c r="V56" s="97"/>
      <c r="W56" s="97"/>
      <c r="X56" s="97"/>
      <c r="Y56" s="97"/>
      <c r="Z56" s="97"/>
      <c r="AA56" s="97"/>
      <c r="AB56" s="97"/>
      <c r="AC56" s="97"/>
      <c r="AD56" s="97"/>
      <c r="AE56" s="97"/>
      <c r="AF56" s="97"/>
      <c r="AG56" s="97"/>
      <c r="AH56" s="97"/>
      <c r="AI56" s="97"/>
      <c r="AJ56" s="97"/>
      <c r="AK56" s="97"/>
      <c r="AL56" s="97"/>
      <c r="AM56" s="97"/>
      <c r="AN56" s="193"/>
      <c r="AO56" s="108"/>
      <c r="AP56" s="109"/>
      <c r="AQ56" s="195"/>
      <c r="AR56" s="196"/>
      <c r="AS56" s="196"/>
      <c r="AT56" s="196"/>
      <c r="AU56" s="96"/>
      <c r="AV56" s="110"/>
      <c r="AW56" s="137"/>
      <c r="AX56" s="105"/>
    </row>
    <row r="57" customFormat="false" ht="12.75" hidden="false" customHeight="true" outlineLevel="0" collapsed="false">
      <c r="A57" s="194" t="s">
        <v>267</v>
      </c>
      <c r="B57" s="96"/>
      <c r="C57" s="96"/>
      <c r="D57" s="96"/>
      <c r="E57" s="111"/>
      <c r="F57" s="112"/>
      <c r="G57" s="113"/>
      <c r="H57" s="104"/>
      <c r="I57" s="97"/>
      <c r="J57" s="97"/>
      <c r="K57" s="110"/>
      <c r="L57" s="166"/>
      <c r="M57" s="167"/>
      <c r="N57" s="167"/>
      <c r="O57" s="167"/>
      <c r="P57" s="110"/>
      <c r="Q57" s="103"/>
      <c r="R57" s="104"/>
      <c r="S57" s="105"/>
      <c r="T57" s="105"/>
      <c r="U57" s="97"/>
      <c r="V57" s="97"/>
      <c r="W57" s="97"/>
      <c r="X57" s="97"/>
      <c r="Y57" s="97"/>
      <c r="Z57" s="97"/>
      <c r="AA57" s="97"/>
      <c r="AB57" s="97"/>
      <c r="AC57" s="97"/>
      <c r="AD57" s="97"/>
      <c r="AE57" s="97"/>
      <c r="AF57" s="97"/>
      <c r="AG57" s="97"/>
      <c r="AH57" s="97"/>
      <c r="AI57" s="97"/>
      <c r="AJ57" s="97"/>
      <c r="AK57" s="97"/>
      <c r="AL57" s="97"/>
      <c r="AM57" s="97"/>
      <c r="AN57" s="193"/>
      <c r="AO57" s="108"/>
      <c r="AP57" s="109"/>
      <c r="AQ57" s="195"/>
      <c r="AR57" s="196"/>
      <c r="AS57" s="196"/>
      <c r="AT57" s="196"/>
      <c r="AU57" s="96"/>
      <c r="AV57" s="110"/>
      <c r="AW57" s="137"/>
      <c r="AX57" s="105"/>
    </row>
    <row r="58" customFormat="false" ht="12.75" hidden="false" customHeight="true" outlineLevel="0" collapsed="false">
      <c r="A58" s="194" t="s">
        <v>268</v>
      </c>
      <c r="B58" s="96"/>
      <c r="C58" s="96"/>
      <c r="D58" s="96"/>
      <c r="E58" s="111"/>
      <c r="F58" s="112"/>
      <c r="G58" s="113"/>
      <c r="H58" s="104"/>
      <c r="I58" s="97"/>
      <c r="J58" s="97"/>
      <c r="K58" s="110"/>
      <c r="L58" s="104"/>
      <c r="M58" s="96"/>
      <c r="N58" s="96"/>
      <c r="O58" s="96"/>
      <c r="P58" s="110"/>
      <c r="Q58" s="103"/>
      <c r="R58" s="104"/>
      <c r="S58" s="105"/>
      <c r="T58" s="105"/>
      <c r="U58" s="97"/>
      <c r="V58" s="97"/>
      <c r="W58" s="97"/>
      <c r="X58" s="97"/>
      <c r="Y58" s="97"/>
      <c r="Z58" s="97"/>
      <c r="AA58" s="97"/>
      <c r="AB58" s="97"/>
      <c r="AC58" s="97"/>
      <c r="AD58" s="97"/>
      <c r="AE58" s="97"/>
      <c r="AF58" s="97"/>
      <c r="AG58" s="97"/>
      <c r="AH58" s="97"/>
      <c r="AI58" s="97"/>
      <c r="AJ58" s="97"/>
      <c r="AK58" s="97"/>
      <c r="AL58" s="97"/>
      <c r="AM58" s="97"/>
      <c r="AN58" s="193"/>
      <c r="AO58" s="108"/>
      <c r="AP58" s="109"/>
      <c r="AQ58" s="195"/>
      <c r="AR58" s="196"/>
      <c r="AS58" s="196"/>
      <c r="AT58" s="196"/>
      <c r="AU58" s="96"/>
      <c r="AV58" s="110"/>
      <c r="AW58" s="137"/>
      <c r="AX58" s="105"/>
    </row>
    <row r="59" customFormat="false" ht="12.75" hidden="false" customHeight="true" outlineLevel="0" collapsed="false">
      <c r="A59" s="194" t="s">
        <v>269</v>
      </c>
      <c r="B59" s="96"/>
      <c r="C59" s="96"/>
      <c r="D59" s="96"/>
      <c r="E59" s="111"/>
      <c r="F59" s="112"/>
      <c r="G59" s="113"/>
      <c r="H59" s="104"/>
      <c r="I59" s="97"/>
      <c r="J59" s="97"/>
      <c r="K59" s="110"/>
      <c r="L59" s="166"/>
      <c r="M59" s="167"/>
      <c r="N59" s="167"/>
      <c r="O59" s="167"/>
      <c r="P59" s="110"/>
      <c r="Q59" s="103"/>
      <c r="R59" s="104"/>
      <c r="S59" s="105"/>
      <c r="T59" s="105"/>
      <c r="U59" s="97"/>
      <c r="V59" s="97"/>
      <c r="W59" s="97"/>
      <c r="X59" s="97"/>
      <c r="Y59" s="97"/>
      <c r="Z59" s="97"/>
      <c r="AA59" s="97"/>
      <c r="AB59" s="97"/>
      <c r="AC59" s="97"/>
      <c r="AD59" s="97"/>
      <c r="AE59" s="97"/>
      <c r="AF59" s="97"/>
      <c r="AG59" s="97"/>
      <c r="AH59" s="97"/>
      <c r="AI59" s="97"/>
      <c r="AJ59" s="97"/>
      <c r="AK59" s="97"/>
      <c r="AL59" s="97"/>
      <c r="AM59" s="97"/>
      <c r="AN59" s="193"/>
      <c r="AO59" s="108"/>
      <c r="AP59" s="109"/>
      <c r="AQ59" s="195"/>
      <c r="AR59" s="196"/>
      <c r="AS59" s="196"/>
      <c r="AT59" s="196"/>
      <c r="AU59" s="96"/>
      <c r="AV59" s="110"/>
      <c r="AW59" s="137"/>
      <c r="AX59" s="105"/>
    </row>
    <row r="60" customFormat="false" ht="12.75" hidden="false" customHeight="true" outlineLevel="0" collapsed="false">
      <c r="A60" s="194" t="s">
        <v>270</v>
      </c>
      <c r="B60" s="96"/>
      <c r="C60" s="96"/>
      <c r="D60" s="96"/>
      <c r="E60" s="111"/>
      <c r="F60" s="112"/>
      <c r="G60" s="113"/>
      <c r="H60" s="104"/>
      <c r="I60" s="97"/>
      <c r="J60" s="97"/>
      <c r="K60" s="110"/>
      <c r="L60" s="166"/>
      <c r="M60" s="167"/>
      <c r="N60" s="167"/>
      <c r="O60" s="167"/>
      <c r="P60" s="110"/>
      <c r="Q60" s="103"/>
      <c r="R60" s="104"/>
      <c r="S60" s="105"/>
      <c r="T60" s="105"/>
      <c r="U60" s="97"/>
      <c r="V60" s="97"/>
      <c r="W60" s="97"/>
      <c r="X60" s="97"/>
      <c r="Y60" s="97"/>
      <c r="Z60" s="97"/>
      <c r="AA60" s="97"/>
      <c r="AB60" s="97"/>
      <c r="AC60" s="97"/>
      <c r="AD60" s="97"/>
      <c r="AE60" s="97"/>
      <c r="AF60" s="97"/>
      <c r="AG60" s="97"/>
      <c r="AH60" s="97"/>
      <c r="AI60" s="97"/>
      <c r="AJ60" s="97"/>
      <c r="AK60" s="97"/>
      <c r="AL60" s="97"/>
      <c r="AM60" s="97"/>
      <c r="AN60" s="193"/>
      <c r="AO60" s="108"/>
      <c r="AP60" s="109"/>
      <c r="AQ60" s="195"/>
      <c r="AR60" s="196"/>
      <c r="AS60" s="196"/>
      <c r="AT60" s="196"/>
      <c r="AU60" s="96"/>
      <c r="AV60" s="110"/>
      <c r="AW60" s="137"/>
      <c r="AX60" s="105"/>
    </row>
    <row r="61" customFormat="false" ht="12.75" hidden="false" customHeight="true" outlineLevel="0" collapsed="false">
      <c r="A61" s="60" t="s">
        <v>271</v>
      </c>
      <c r="B61" s="69"/>
      <c r="C61" s="69"/>
      <c r="D61" s="69"/>
      <c r="E61" s="61"/>
      <c r="F61" s="81"/>
      <c r="G61" s="88"/>
      <c r="H61" s="73"/>
      <c r="I61" s="74"/>
      <c r="J61" s="74"/>
      <c r="K61" s="79"/>
      <c r="L61" s="73"/>
      <c r="M61" s="69"/>
      <c r="N61" s="69"/>
      <c r="O61" s="69"/>
      <c r="P61" s="95"/>
      <c r="Q61" s="72"/>
      <c r="R61" s="73"/>
      <c r="S61" s="90" t="n">
        <v>90</v>
      </c>
      <c r="T61" s="80"/>
      <c r="U61" s="74"/>
      <c r="V61" s="74"/>
      <c r="W61" s="74"/>
      <c r="X61" s="74"/>
      <c r="Y61" s="74"/>
      <c r="Z61" s="74"/>
      <c r="AA61" s="74"/>
      <c r="AB61" s="74"/>
      <c r="AC61" s="74"/>
      <c r="AD61" s="74"/>
      <c r="AE61" s="74"/>
      <c r="AF61" s="74"/>
      <c r="AG61" s="74"/>
      <c r="AH61" s="74"/>
      <c r="AI61" s="74"/>
      <c r="AJ61" s="74"/>
      <c r="AK61" s="74"/>
      <c r="AL61" s="74"/>
      <c r="AM61" s="74" t="e">
        <f aca="false">AVERAGE(U61:AC61)</f>
        <v>#DIV/0!</v>
      </c>
      <c r="AN61" s="92" t="n">
        <v>3.67</v>
      </c>
      <c r="AO61" s="139"/>
      <c r="AP61" s="75"/>
      <c r="AQ61" s="73" t="n">
        <f aca="false">AN61-(AN61-Q61)*(SIN((S61+AX61)*PI()/180))/(COS(AX61*PI()/180))</f>
        <v>0</v>
      </c>
      <c r="AR61" s="84" t="n">
        <f aca="false">H61+($M$1-M61)-(AN61-Q61)*(COS(S61*PI()/180))*(SIN((T61+13+2.3)*PI()/180))</f>
        <v>633905.233</v>
      </c>
      <c r="AS61" s="84" t="n">
        <f aca="false">I61+($N$1-N61)-(AN61-Q61)*(COS(S61*PI()/180))*(COS((T61+13+2.3)*PI()/180))</f>
        <v>3049240.448</v>
      </c>
      <c r="AT61" s="84" t="n">
        <f aca="false">J61+($O$1-O61)-R61+AN61-(AN61-Q61)*(SIN(S61*PI()/180))-L61</f>
        <v>56.28</v>
      </c>
      <c r="AU61" s="69"/>
      <c r="AV61" s="79"/>
      <c r="AW61" s="93" t="n">
        <f aca="false">AQ59-'Estacas Johnsons'!AQ59</f>
        <v>0</v>
      </c>
      <c r="AX61" s="80"/>
    </row>
    <row r="62" customFormat="false" ht="12.75" hidden="false" customHeight="true" outlineLevel="0" collapsed="false">
      <c r="A62" s="96" t="s">
        <v>273</v>
      </c>
      <c r="B62" s="96"/>
      <c r="C62" s="96"/>
      <c r="D62" s="96"/>
      <c r="E62" s="96"/>
      <c r="F62" s="96"/>
      <c r="G62" s="113"/>
      <c r="H62" s="104"/>
      <c r="I62" s="97"/>
      <c r="J62" s="97"/>
      <c r="K62" s="110"/>
      <c r="L62" s="166"/>
      <c r="M62" s="167"/>
      <c r="N62" s="167"/>
      <c r="O62" s="167"/>
      <c r="P62" s="110"/>
      <c r="Q62" s="103"/>
      <c r="R62" s="104"/>
      <c r="S62" s="96"/>
      <c r="T62" s="96"/>
      <c r="U62" s="96"/>
      <c r="V62" s="96"/>
      <c r="W62" s="96"/>
      <c r="X62" s="96"/>
      <c r="Y62" s="96"/>
      <c r="Z62" s="96"/>
      <c r="AA62" s="96"/>
      <c r="AB62" s="96"/>
      <c r="AC62" s="96"/>
      <c r="AD62" s="96"/>
      <c r="AE62" s="96"/>
      <c r="AF62" s="96"/>
      <c r="AG62" s="96"/>
      <c r="AH62" s="96"/>
      <c r="AI62" s="96"/>
      <c r="AJ62" s="96"/>
      <c r="AK62" s="96"/>
      <c r="AL62" s="96"/>
      <c r="AM62" s="96"/>
      <c r="AN62" s="193"/>
      <c r="AO62" s="192"/>
      <c r="AP62" s="96"/>
      <c r="AQ62" s="96"/>
      <c r="AR62" s="96"/>
      <c r="AS62" s="96"/>
      <c r="AT62" s="96"/>
      <c r="AU62" s="96"/>
      <c r="AV62" s="96"/>
      <c r="AW62" s="137"/>
      <c r="AX62" s="105"/>
    </row>
    <row r="63" customFormat="false" ht="12.75" hidden="false" customHeight="true" outlineLevel="0" collapsed="false">
      <c r="A63" s="96" t="s">
        <v>274</v>
      </c>
      <c r="B63" s="96"/>
      <c r="C63" s="96"/>
      <c r="D63" s="96"/>
      <c r="E63" s="96"/>
      <c r="F63" s="96"/>
      <c r="G63" s="113"/>
      <c r="H63" s="104"/>
      <c r="I63" s="97"/>
      <c r="J63" s="97"/>
      <c r="K63" s="110"/>
      <c r="L63" s="166"/>
      <c r="M63" s="167"/>
      <c r="N63" s="167"/>
      <c r="O63" s="167"/>
      <c r="P63" s="110"/>
      <c r="Q63" s="103"/>
      <c r="R63" s="104"/>
      <c r="S63" s="96"/>
      <c r="T63" s="96"/>
      <c r="U63" s="96"/>
      <c r="V63" s="96"/>
      <c r="W63" s="96"/>
      <c r="X63" s="96"/>
      <c r="Y63" s="96"/>
      <c r="Z63" s="96"/>
      <c r="AA63" s="96"/>
      <c r="AB63" s="96"/>
      <c r="AC63" s="96"/>
      <c r="AD63" s="96"/>
      <c r="AE63" s="96"/>
      <c r="AF63" s="96"/>
      <c r="AG63" s="96"/>
      <c r="AH63" s="96"/>
      <c r="AI63" s="96"/>
      <c r="AJ63" s="96"/>
      <c r="AK63" s="96"/>
      <c r="AL63" s="96"/>
      <c r="AM63" s="96"/>
      <c r="AN63" s="193"/>
      <c r="AO63" s="192"/>
      <c r="AP63" s="96"/>
      <c r="AQ63" s="96"/>
      <c r="AR63" s="96"/>
      <c r="AS63" s="96"/>
      <c r="AT63" s="96"/>
      <c r="AU63" s="96"/>
      <c r="AV63" s="96"/>
      <c r="AW63" s="137"/>
      <c r="AX63" s="105"/>
    </row>
    <row r="64" customFormat="false" ht="12.75" hidden="false" customHeight="true" outlineLevel="0" collapsed="false">
      <c r="A64" s="60" t="s">
        <v>275</v>
      </c>
      <c r="B64" s="69"/>
      <c r="C64" s="69"/>
      <c r="D64" s="69"/>
      <c r="E64" s="61"/>
      <c r="F64" s="81"/>
      <c r="G64" s="88"/>
      <c r="H64" s="93"/>
      <c r="I64" s="203"/>
      <c r="J64" s="93"/>
      <c r="K64" s="79"/>
      <c r="L64" s="224"/>
      <c r="M64" s="86"/>
      <c r="N64" s="86"/>
      <c r="O64" s="86"/>
      <c r="P64" s="95"/>
      <c r="Q64" s="72"/>
      <c r="R64" s="73"/>
      <c r="S64" s="90" t="n">
        <v>90</v>
      </c>
      <c r="T64" s="80"/>
      <c r="U64" s="74"/>
      <c r="V64" s="74"/>
      <c r="W64" s="74"/>
      <c r="X64" s="74"/>
      <c r="Y64" s="74"/>
      <c r="Z64" s="74"/>
      <c r="AA64" s="74"/>
      <c r="AB64" s="74"/>
      <c r="AC64" s="74"/>
      <c r="AD64" s="74"/>
      <c r="AE64" s="74"/>
      <c r="AF64" s="74"/>
      <c r="AG64" s="74"/>
      <c r="AH64" s="74"/>
      <c r="AI64" s="74"/>
      <c r="AJ64" s="74"/>
      <c r="AK64" s="74"/>
      <c r="AL64" s="74"/>
      <c r="AM64" s="213" t="e">
        <f aca="false">AVERAGE(U64:AC64)</f>
        <v>#DIV/0!</v>
      </c>
      <c r="AN64" s="92" t="n">
        <v>3.67</v>
      </c>
      <c r="AP64" s="75"/>
      <c r="AQ64" s="73" t="n">
        <f aca="false">AN64-(AN64-Q64)*(SIN((S64+AX64)*PI()/180))/(COS(AX64*PI()/180))</f>
        <v>0</v>
      </c>
      <c r="AR64" s="84" t="n">
        <f aca="false">H64+($M$1-M64)-(AN64-Q64)*(COS(S64*PI()/180))*(SIN((T64+13+2.3)*PI()/180))</f>
        <v>633905.233</v>
      </c>
      <c r="AS64" s="84" t="n">
        <f aca="false">I64+($N$1-N64)-(AN64-Q64)*(COS(S64*PI()/180))*(COS((T64+13+2.3)*PI()/180))</f>
        <v>3049240.448</v>
      </c>
      <c r="AT64" s="84" t="n">
        <f aca="false">J64+($O$1-O64)-R64+AN64-(AN64-Q64)*(SIN(S64*PI()/180))-L64</f>
        <v>56.28</v>
      </c>
      <c r="AU64" s="69"/>
      <c r="AV64" s="79"/>
      <c r="AW64" s="93" t="n">
        <f aca="false">AQ62-'Estacas Johnsons'!AQ62</f>
        <v>0</v>
      </c>
      <c r="AX64" s="80"/>
    </row>
    <row r="65" customFormat="false" ht="12.75" hidden="false" customHeight="true" outlineLevel="0" collapsed="false">
      <c r="A65" s="96" t="s">
        <v>279</v>
      </c>
      <c r="B65" s="96"/>
      <c r="C65" s="96"/>
      <c r="D65" s="96"/>
      <c r="E65" s="96"/>
      <c r="F65" s="96"/>
      <c r="G65" s="113"/>
      <c r="H65" s="104"/>
      <c r="I65" s="97"/>
      <c r="J65" s="97"/>
      <c r="K65" s="110"/>
      <c r="L65" s="104"/>
      <c r="M65" s="96"/>
      <c r="N65" s="96"/>
      <c r="O65" s="96"/>
      <c r="P65" s="192"/>
      <c r="Q65" s="103"/>
      <c r="R65" s="104"/>
      <c r="S65" s="96"/>
      <c r="T65" s="96"/>
      <c r="U65" s="96"/>
      <c r="V65" s="96"/>
      <c r="W65" s="96"/>
      <c r="X65" s="96"/>
      <c r="Y65" s="96"/>
      <c r="Z65" s="96"/>
      <c r="AA65" s="96"/>
      <c r="AB65" s="96"/>
      <c r="AC65" s="96"/>
      <c r="AD65" s="96"/>
      <c r="AE65" s="96"/>
      <c r="AF65" s="96"/>
      <c r="AG65" s="96"/>
      <c r="AH65" s="96"/>
      <c r="AI65" s="96"/>
      <c r="AJ65" s="96"/>
      <c r="AK65" s="96"/>
      <c r="AL65" s="96"/>
      <c r="AM65" s="96"/>
      <c r="AN65" s="193"/>
      <c r="AO65" s="192"/>
      <c r="AP65" s="96"/>
      <c r="AQ65" s="96"/>
      <c r="AR65" s="96"/>
      <c r="AS65" s="96"/>
      <c r="AT65" s="96"/>
      <c r="AU65" s="96"/>
      <c r="AV65" s="96"/>
      <c r="AW65" s="137"/>
      <c r="AX65" s="105"/>
    </row>
    <row r="66" customFormat="false" ht="12.75" hidden="false" customHeight="true" outlineLevel="0" collapsed="false">
      <c r="A66" s="202" t="s">
        <v>280</v>
      </c>
      <c r="B66" s="202"/>
      <c r="C66" s="202"/>
      <c r="D66" s="69"/>
      <c r="E66" s="211"/>
      <c r="F66" s="212"/>
      <c r="G66" s="88"/>
      <c r="H66" s="203"/>
      <c r="I66" s="203"/>
      <c r="J66" s="203"/>
      <c r="K66" s="204"/>
      <c r="L66" s="93"/>
      <c r="M66" s="203"/>
      <c r="N66" s="203"/>
      <c r="O66" s="202"/>
      <c r="P66" s="95"/>
      <c r="Q66" s="72"/>
      <c r="R66" s="73"/>
      <c r="S66" s="225" t="n">
        <v>90</v>
      </c>
      <c r="T66" s="203"/>
      <c r="U66" s="203"/>
      <c r="V66" s="203"/>
      <c r="W66" s="203"/>
      <c r="X66" s="203"/>
      <c r="Y66" s="203"/>
      <c r="Z66" s="203"/>
      <c r="AA66" s="203"/>
      <c r="AB66" s="203"/>
      <c r="AC66" s="203"/>
      <c r="AD66" s="203"/>
      <c r="AE66" s="203"/>
      <c r="AF66" s="203"/>
      <c r="AG66" s="203"/>
      <c r="AH66" s="203"/>
      <c r="AI66" s="203"/>
      <c r="AJ66" s="203"/>
      <c r="AK66" s="203"/>
      <c r="AL66" s="203"/>
      <c r="AM66" s="74" t="e">
        <f aca="false">AVERAGE(U66:AC66)</f>
        <v>#DIV/0!</v>
      </c>
      <c r="AN66" s="92" t="n">
        <v>3.67</v>
      </c>
      <c r="AP66" s="75"/>
      <c r="AQ66" s="73" t="n">
        <f aca="false">AN66-(AN66-Q66)*(SIN((S66+AX66)*PI()/180))/(COS(AX66*PI()/180))</f>
        <v>0</v>
      </c>
      <c r="AR66" s="84" t="n">
        <f aca="false">H66+($M$1-M66)-(AN66-Q66)*(COS(S66*PI()/180))*(SIN((T66+13+2.3)*PI()/180))</f>
        <v>633905.233</v>
      </c>
      <c r="AS66" s="84" t="n">
        <f aca="false">I66+($N$1-N66)-(AN66-Q66)*(COS(S66*PI()/180))*(COS((T66+13+2.3)*PI()/180))</f>
        <v>3049240.448</v>
      </c>
      <c r="AT66" s="84" t="n">
        <f aca="false">J66+($O$1-O66)-R66+AN66-(AN66-Q66)*(SIN(S66*PI()/180))-L66</f>
        <v>56.28</v>
      </c>
      <c r="AU66" s="69"/>
      <c r="AV66" s="79"/>
      <c r="AW66" s="93" t="n">
        <f aca="false">AQ64-'Estacas Johnsons'!AQ64</f>
        <v>-0.36</v>
      </c>
      <c r="AX66" s="80"/>
    </row>
    <row r="67" customFormat="false" ht="14.25" hidden="false" customHeight="true" outlineLevel="0" collapsed="false">
      <c r="A67" s="96" t="s">
        <v>281</v>
      </c>
      <c r="B67" s="96"/>
      <c r="C67" s="96"/>
      <c r="D67" s="96"/>
      <c r="E67" s="96"/>
      <c r="F67" s="96"/>
      <c r="G67" s="113"/>
      <c r="H67" s="104"/>
      <c r="I67" s="97"/>
      <c r="J67" s="97"/>
      <c r="K67" s="110"/>
      <c r="L67" s="104"/>
      <c r="M67" s="96"/>
      <c r="N67" s="96"/>
      <c r="O67" s="96"/>
      <c r="P67" s="192"/>
      <c r="Q67" s="103"/>
      <c r="R67" s="104"/>
      <c r="S67" s="96"/>
      <c r="T67" s="96"/>
      <c r="U67" s="96"/>
      <c r="V67" s="96"/>
      <c r="W67" s="96"/>
      <c r="X67" s="96"/>
      <c r="Y67" s="96"/>
      <c r="Z67" s="96"/>
      <c r="AA67" s="96"/>
      <c r="AB67" s="96"/>
      <c r="AC67" s="96"/>
      <c r="AD67" s="96"/>
      <c r="AE67" s="96"/>
      <c r="AF67" s="96"/>
      <c r="AG67" s="96"/>
      <c r="AH67" s="96"/>
      <c r="AI67" s="96"/>
      <c r="AJ67" s="96"/>
      <c r="AK67" s="96"/>
      <c r="AL67" s="96"/>
      <c r="AM67" s="96"/>
      <c r="AN67" s="193"/>
      <c r="AO67" s="192"/>
      <c r="AP67" s="96"/>
      <c r="AQ67" s="96"/>
      <c r="AR67" s="96"/>
      <c r="AS67" s="96"/>
      <c r="AT67" s="96"/>
      <c r="AU67" s="96"/>
      <c r="AV67" s="96"/>
      <c r="AW67" s="137"/>
      <c r="AX67" s="105"/>
    </row>
    <row r="68" customFormat="false" ht="14.25" hidden="false" customHeight="true" outlineLevel="0" collapsed="false">
      <c r="A68" s="96" t="s">
        <v>282</v>
      </c>
      <c r="B68" s="96"/>
      <c r="C68" s="96"/>
      <c r="D68" s="96"/>
      <c r="E68" s="96"/>
      <c r="F68" s="96"/>
      <c r="G68" s="113"/>
      <c r="H68" s="104"/>
      <c r="I68" s="97"/>
      <c r="J68" s="97"/>
      <c r="K68" s="110"/>
      <c r="L68" s="104"/>
      <c r="M68" s="96"/>
      <c r="N68" s="96"/>
      <c r="O68" s="96"/>
      <c r="P68" s="192"/>
      <c r="Q68" s="103"/>
      <c r="R68" s="104"/>
      <c r="S68" s="96"/>
      <c r="T68" s="96"/>
      <c r="U68" s="96"/>
      <c r="V68" s="96"/>
      <c r="W68" s="96"/>
      <c r="X68" s="96"/>
      <c r="Y68" s="96"/>
      <c r="Z68" s="96"/>
      <c r="AA68" s="96"/>
      <c r="AB68" s="96"/>
      <c r="AC68" s="96"/>
      <c r="AD68" s="96"/>
      <c r="AE68" s="96"/>
      <c r="AF68" s="96"/>
      <c r="AG68" s="96"/>
      <c r="AH68" s="96"/>
      <c r="AI68" s="96"/>
      <c r="AJ68" s="96"/>
      <c r="AK68" s="96"/>
      <c r="AL68" s="96"/>
      <c r="AM68" s="96"/>
      <c r="AN68" s="193"/>
      <c r="AO68" s="192"/>
      <c r="AP68" s="96"/>
      <c r="AQ68" s="96"/>
      <c r="AR68" s="96"/>
      <c r="AS68" s="96"/>
      <c r="AT68" s="96"/>
      <c r="AU68" s="96"/>
      <c r="AV68" s="96"/>
      <c r="AW68" s="137"/>
      <c r="AX68" s="105"/>
    </row>
    <row r="69" customFormat="false" ht="12.75" hidden="false" customHeight="true" outlineLevel="0" collapsed="false">
      <c r="A69" s="96" t="s">
        <v>283</v>
      </c>
      <c r="B69" s="96"/>
      <c r="C69" s="96"/>
      <c r="D69" s="96"/>
      <c r="E69" s="96"/>
      <c r="F69" s="96"/>
      <c r="G69" s="113"/>
      <c r="H69" s="104"/>
      <c r="I69" s="97"/>
      <c r="J69" s="97"/>
      <c r="K69" s="110"/>
      <c r="L69" s="104"/>
      <c r="M69" s="96"/>
      <c r="N69" s="96"/>
      <c r="O69" s="96"/>
      <c r="P69" s="192"/>
      <c r="Q69" s="103"/>
      <c r="R69" s="104"/>
      <c r="S69" s="96"/>
      <c r="T69" s="96"/>
      <c r="U69" s="96"/>
      <c r="V69" s="96"/>
      <c r="W69" s="96"/>
      <c r="X69" s="96"/>
      <c r="Y69" s="96"/>
      <c r="Z69" s="96"/>
      <c r="AA69" s="96"/>
      <c r="AB69" s="96"/>
      <c r="AC69" s="96"/>
      <c r="AD69" s="96"/>
      <c r="AE69" s="96"/>
      <c r="AF69" s="96"/>
      <c r="AG69" s="96"/>
      <c r="AH69" s="96"/>
      <c r="AI69" s="96"/>
      <c r="AJ69" s="96"/>
      <c r="AK69" s="96"/>
      <c r="AL69" s="96"/>
      <c r="AM69" s="96"/>
      <c r="AN69" s="193"/>
      <c r="AO69" s="192"/>
      <c r="AP69" s="96"/>
      <c r="AQ69" s="96"/>
      <c r="AR69" s="96"/>
      <c r="AS69" s="96"/>
      <c r="AT69" s="96"/>
      <c r="AU69" s="96"/>
      <c r="AV69" s="96"/>
      <c r="AW69" s="137"/>
      <c r="AX69" s="105"/>
    </row>
    <row r="70" customFormat="false" ht="12.75" hidden="false" customHeight="true" outlineLevel="0" collapsed="false">
      <c r="A70" s="202" t="s">
        <v>284</v>
      </c>
      <c r="B70" s="69"/>
      <c r="C70" s="202"/>
      <c r="D70" s="69"/>
      <c r="E70" s="211"/>
      <c r="F70" s="212"/>
      <c r="G70" s="88"/>
      <c r="H70" s="203"/>
      <c r="I70" s="203"/>
      <c r="J70" s="203"/>
      <c r="K70" s="204"/>
      <c r="L70" s="93"/>
      <c r="M70" s="85"/>
      <c r="N70" s="85"/>
      <c r="O70" s="85"/>
      <c r="P70" s="95"/>
      <c r="Q70" s="72"/>
      <c r="R70" s="73"/>
      <c r="S70" s="225" t="n">
        <v>90</v>
      </c>
      <c r="T70" s="203"/>
      <c r="U70" s="203"/>
      <c r="V70" s="203"/>
      <c r="W70" s="203"/>
      <c r="X70" s="203"/>
      <c r="Y70" s="203"/>
      <c r="Z70" s="203"/>
      <c r="AA70" s="203"/>
      <c r="AB70" s="203"/>
      <c r="AC70" s="203"/>
      <c r="AD70" s="203"/>
      <c r="AE70" s="203"/>
      <c r="AF70" s="203"/>
      <c r="AG70" s="203"/>
      <c r="AH70" s="203"/>
      <c r="AI70" s="203"/>
      <c r="AJ70" s="203"/>
      <c r="AK70" s="203"/>
      <c r="AL70" s="203"/>
      <c r="AM70" s="74" t="e">
        <f aca="false">AVERAGE(U70:AC70)</f>
        <v>#DIV/0!</v>
      </c>
      <c r="AN70" s="92" t="n">
        <v>3.67</v>
      </c>
      <c r="AO70" s="77"/>
      <c r="AP70" s="75"/>
      <c r="AQ70" s="73" t="n">
        <f aca="false">AN70-(AN70-Q70)*(SIN((S70+AX70)*PI()/180))/(COS(AX70*PI()/180))</f>
        <v>0</v>
      </c>
      <c r="AR70" s="84" t="n">
        <f aca="false">H70+($M$1-M70)-(AN70-Q70)*(COS(S70*PI()/180))*(SIN((T70+13+2.3)*PI()/180))</f>
        <v>633905.233</v>
      </c>
      <c r="AS70" s="84" t="n">
        <f aca="false">I70+($N$1-N70)-(AN70-Q70)*(COS(S70*PI()/180))*(COS((T70+13+2.3)*PI()/180))</f>
        <v>3049240.448</v>
      </c>
      <c r="AT70" s="84" t="n">
        <f aca="false">J70+($O$1-O70)-R70+AN70-(AN70-Q70)*(SIN(S70*PI()/180))-L70</f>
        <v>56.28</v>
      </c>
      <c r="AU70" s="69"/>
      <c r="AV70" s="79"/>
      <c r="AW70" s="93" t="n">
        <f aca="false">AQ68-'Estacas Johnsons'!AQ68</f>
        <v>0</v>
      </c>
      <c r="AX70" s="80"/>
    </row>
    <row r="71" customFormat="false" ht="12.75" hidden="false" customHeight="true" outlineLevel="0" collapsed="false">
      <c r="A71" s="202" t="s">
        <v>285</v>
      </c>
      <c r="B71" s="69"/>
      <c r="C71" s="202"/>
      <c r="D71" s="69"/>
      <c r="E71" s="211"/>
      <c r="F71" s="212"/>
      <c r="G71" s="88"/>
      <c r="H71" s="203"/>
      <c r="I71" s="203"/>
      <c r="J71" s="203"/>
      <c r="K71" s="204"/>
      <c r="L71" s="93"/>
      <c r="M71" s="203"/>
      <c r="N71" s="203"/>
      <c r="O71" s="202"/>
      <c r="P71" s="226"/>
      <c r="Q71" s="72"/>
      <c r="R71" s="73"/>
      <c r="S71" s="225" t="n">
        <v>90</v>
      </c>
      <c r="T71" s="203"/>
      <c r="U71" s="203"/>
      <c r="V71" s="203"/>
      <c r="W71" s="203"/>
      <c r="X71" s="203"/>
      <c r="Y71" s="203"/>
      <c r="Z71" s="203"/>
      <c r="AA71" s="203"/>
      <c r="AB71" s="203"/>
      <c r="AC71" s="203"/>
      <c r="AD71" s="203"/>
      <c r="AE71" s="203"/>
      <c r="AF71" s="203"/>
      <c r="AG71" s="203"/>
      <c r="AH71" s="203"/>
      <c r="AI71" s="203"/>
      <c r="AJ71" s="203"/>
      <c r="AK71" s="203"/>
      <c r="AL71" s="203"/>
      <c r="AM71" s="74" t="e">
        <f aca="false">AVERAGE(U71:AC71)</f>
        <v>#DIV/0!</v>
      </c>
      <c r="AN71" s="92" t="n">
        <v>3.67</v>
      </c>
      <c r="AO71" s="77"/>
      <c r="AP71" s="75"/>
      <c r="AQ71" s="73" t="n">
        <f aca="false">AN71-(AN71-Q71)*(SIN((S71+AX71)*PI()/180))/(COS(AX71*PI()/180))</f>
        <v>0</v>
      </c>
      <c r="AR71" s="84" t="n">
        <f aca="false">H71+($M$1-M71)-(AN71-Q71)*(COS(S71*PI()/180))*(SIN((T71+13+2.3)*PI()/180))</f>
        <v>633905.233</v>
      </c>
      <c r="AS71" s="84" t="n">
        <f aca="false">I71+($N$1-N71)-(AN71-Q71)*(COS(S71*PI()/180))*(COS((T71+13+2.3)*PI()/180))</f>
        <v>3049240.448</v>
      </c>
      <c r="AT71" s="84" t="n">
        <f aca="false">J71+($O$1-O71)-R71+AN71-(AN71-Q71)*(SIN(S71*PI()/180))-L71</f>
        <v>56.28</v>
      </c>
      <c r="AU71" s="69"/>
      <c r="AV71" s="79"/>
      <c r="AW71" s="93" t="n">
        <f aca="false">AQ69-'Estacas Johnsons'!AQ69</f>
        <v>0</v>
      </c>
      <c r="AX71" s="80"/>
    </row>
    <row r="72" customFormat="false" ht="12.75" hidden="false" customHeight="true" outlineLevel="0" collapsed="false">
      <c r="A72" s="96" t="s">
        <v>286</v>
      </c>
      <c r="B72" s="96"/>
      <c r="C72" s="96"/>
      <c r="D72" s="96"/>
      <c r="E72" s="96"/>
      <c r="F72" s="96"/>
      <c r="G72" s="113"/>
      <c r="H72" s="104"/>
      <c r="I72" s="97"/>
      <c r="J72" s="97"/>
      <c r="K72" s="110"/>
      <c r="L72" s="104"/>
      <c r="M72" s="96"/>
      <c r="N72" s="96"/>
      <c r="O72" s="96"/>
      <c r="P72" s="192"/>
      <c r="Q72" s="103"/>
      <c r="R72" s="104"/>
      <c r="S72" s="96"/>
      <c r="T72" s="96"/>
      <c r="U72" s="96"/>
      <c r="V72" s="96"/>
      <c r="W72" s="96"/>
      <c r="X72" s="96"/>
      <c r="Y72" s="96"/>
      <c r="Z72" s="96"/>
      <c r="AA72" s="96"/>
      <c r="AB72" s="96"/>
      <c r="AC72" s="96"/>
      <c r="AD72" s="96"/>
      <c r="AE72" s="96"/>
      <c r="AF72" s="96"/>
      <c r="AG72" s="96"/>
      <c r="AH72" s="96"/>
      <c r="AI72" s="96"/>
      <c r="AJ72" s="96"/>
      <c r="AK72" s="96"/>
      <c r="AL72" s="96"/>
      <c r="AM72" s="96"/>
      <c r="AN72" s="193"/>
      <c r="AO72" s="192"/>
      <c r="AP72" s="96"/>
      <c r="AQ72" s="96"/>
      <c r="AR72" s="96"/>
      <c r="AS72" s="96"/>
      <c r="AT72" s="96"/>
      <c r="AU72" s="96"/>
      <c r="AV72" s="96"/>
      <c r="AW72" s="137"/>
      <c r="AX72" s="105"/>
    </row>
    <row r="73" customFormat="false" ht="12.75" hidden="false" customHeight="true" outlineLevel="0" collapsed="false">
      <c r="A73" s="202" t="s">
        <v>287</v>
      </c>
      <c r="B73" s="69"/>
      <c r="C73" s="202"/>
      <c r="D73" s="69"/>
      <c r="E73" s="211"/>
      <c r="F73" s="212"/>
      <c r="G73" s="88"/>
      <c r="H73" s="203"/>
      <c r="I73" s="203"/>
      <c r="J73" s="203"/>
      <c r="K73" s="204"/>
      <c r="L73" s="93"/>
      <c r="M73" s="203"/>
      <c r="N73" s="203"/>
      <c r="O73" s="202"/>
      <c r="P73" s="226"/>
      <c r="Q73" s="72"/>
      <c r="R73" s="73"/>
      <c r="S73" s="225" t="n">
        <v>90</v>
      </c>
      <c r="T73" s="203"/>
      <c r="U73" s="203"/>
      <c r="V73" s="203"/>
      <c r="W73" s="203"/>
      <c r="X73" s="203"/>
      <c r="Y73" s="203"/>
      <c r="Z73" s="203"/>
      <c r="AA73" s="203"/>
      <c r="AB73" s="203"/>
      <c r="AC73" s="203"/>
      <c r="AD73" s="203"/>
      <c r="AE73" s="203"/>
      <c r="AF73" s="203"/>
      <c r="AG73" s="203"/>
      <c r="AH73" s="203"/>
      <c r="AI73" s="203"/>
      <c r="AJ73" s="203"/>
      <c r="AK73" s="203"/>
      <c r="AL73" s="203"/>
      <c r="AM73" s="74" t="e">
        <f aca="false">AVERAGE(U73:AC73)</f>
        <v>#DIV/0!</v>
      </c>
      <c r="AN73" s="92" t="n">
        <v>3.67</v>
      </c>
      <c r="AO73" s="139"/>
      <c r="AP73" s="75"/>
      <c r="AQ73" s="73" t="n">
        <f aca="false">AN73-(AN73-Q73)*(SIN((S73+AX73)*PI()/180))/(COS(AX73*PI()/180))</f>
        <v>0</v>
      </c>
      <c r="AR73" s="84" t="n">
        <f aca="false">H73+($M$1-M73)-(AN73-Q73)*(COS(S73*PI()/180))*(SIN((T73+13+2.3)*PI()/180))</f>
        <v>633905.233</v>
      </c>
      <c r="AS73" s="84" t="n">
        <f aca="false">I73+($N$1-N73)-(AN73-Q73)*(COS(S73*PI()/180))*(COS((T73+13+2.3)*PI()/180))</f>
        <v>3049240.448</v>
      </c>
      <c r="AT73" s="84" t="n">
        <f aca="false">J73+($O$1-O73)-R73+AN73-(AN73-Q73)*(SIN(S73*PI()/180))-L73</f>
        <v>56.28</v>
      </c>
      <c r="AU73" s="69"/>
      <c r="AV73" s="79"/>
      <c r="AW73" s="93" t="n">
        <f aca="false">AQ71-'Estacas Johnsons'!AQ71</f>
        <v>0</v>
      </c>
      <c r="AX73" s="80"/>
    </row>
    <row r="74" customFormat="false" ht="12.75" hidden="false" customHeight="true" outlineLevel="0" collapsed="false">
      <c r="A74" s="202" t="s">
        <v>289</v>
      </c>
      <c r="B74" s="69"/>
      <c r="C74" s="202"/>
      <c r="D74" s="69"/>
      <c r="E74" s="211"/>
      <c r="F74" s="212"/>
      <c r="G74" s="88"/>
      <c r="H74" s="203"/>
      <c r="I74" s="203"/>
      <c r="J74" s="203"/>
      <c r="K74" s="204"/>
      <c r="L74" s="93"/>
      <c r="M74" s="85"/>
      <c r="N74" s="85"/>
      <c r="O74" s="85"/>
      <c r="P74" s="95"/>
      <c r="Q74" s="72"/>
      <c r="R74" s="73"/>
      <c r="S74" s="225" t="n">
        <v>90</v>
      </c>
      <c r="T74" s="203"/>
      <c r="U74" s="203"/>
      <c r="V74" s="203"/>
      <c r="W74" s="203"/>
      <c r="X74" s="203"/>
      <c r="Y74" s="203"/>
      <c r="Z74" s="203"/>
      <c r="AA74" s="203"/>
      <c r="AB74" s="203"/>
      <c r="AC74" s="203"/>
      <c r="AD74" s="203"/>
      <c r="AE74" s="203"/>
      <c r="AF74" s="203"/>
      <c r="AG74" s="203"/>
      <c r="AH74" s="203"/>
      <c r="AI74" s="203"/>
      <c r="AJ74" s="203"/>
      <c r="AK74" s="203"/>
      <c r="AL74" s="203"/>
      <c r="AM74" s="74" t="e">
        <f aca="false">AVERAGE(U74:AC74)</f>
        <v>#DIV/0!</v>
      </c>
      <c r="AN74" s="92" t="n">
        <v>3.67</v>
      </c>
      <c r="AO74" s="139"/>
      <c r="AP74" s="75"/>
      <c r="AQ74" s="73" t="n">
        <f aca="false">AN74-(AN74-Q74)*(SIN((S74+AX74)*PI()/180))/(COS(AX74*PI()/180))</f>
        <v>0</v>
      </c>
      <c r="AR74" s="84" t="n">
        <f aca="false">H74+($M$1-M74)-(AN74-Q74)*(COS(S74*PI()/180))*(SIN((T74+13+2.3)*PI()/180))</f>
        <v>633905.233</v>
      </c>
      <c r="AS74" s="84" t="n">
        <f aca="false">I74+($N$1-N74)-(AN74-Q74)*(COS(S74*PI()/180))*(COS((T74+13+2.3)*PI()/180))</f>
        <v>3049240.448</v>
      </c>
      <c r="AT74" s="84" t="n">
        <f aca="false">J74+($O$1-O74)-R74+AN74-(AN74-Q74)*(SIN(S74*PI()/180))-L74</f>
        <v>56.28</v>
      </c>
      <c r="AU74" s="69"/>
      <c r="AV74" s="79"/>
      <c r="AW74" s="93" t="n">
        <f aca="false">AQ72-'Estacas Johnsons'!AQ72</f>
        <v>0</v>
      </c>
      <c r="AX74" s="80"/>
    </row>
    <row r="75" customFormat="false" ht="12.75" hidden="false" customHeight="true" outlineLevel="0" collapsed="false">
      <c r="A75" s="202" t="s">
        <v>290</v>
      </c>
      <c r="B75" s="69"/>
      <c r="C75" s="202"/>
      <c r="D75" s="69"/>
      <c r="E75" s="211"/>
      <c r="F75" s="212"/>
      <c r="G75" s="88"/>
      <c r="H75" s="203"/>
      <c r="I75" s="203"/>
      <c r="J75" s="203"/>
      <c r="K75" s="204"/>
      <c r="L75" s="93"/>
      <c r="M75" s="85"/>
      <c r="N75" s="85"/>
      <c r="O75" s="85"/>
      <c r="P75" s="95"/>
      <c r="Q75" s="72"/>
      <c r="R75" s="73"/>
      <c r="S75" s="225" t="n">
        <v>90</v>
      </c>
      <c r="T75" s="203"/>
      <c r="U75" s="203"/>
      <c r="V75" s="203"/>
      <c r="W75" s="203"/>
      <c r="X75" s="203"/>
      <c r="Y75" s="203"/>
      <c r="Z75" s="203"/>
      <c r="AA75" s="203"/>
      <c r="AB75" s="203"/>
      <c r="AC75" s="203"/>
      <c r="AD75" s="203"/>
      <c r="AE75" s="203"/>
      <c r="AF75" s="203"/>
      <c r="AG75" s="203"/>
      <c r="AH75" s="203"/>
      <c r="AI75" s="203"/>
      <c r="AJ75" s="203"/>
      <c r="AK75" s="203"/>
      <c r="AL75" s="203"/>
      <c r="AM75" s="74" t="e">
        <f aca="false">AVERAGE(U75:AC75)</f>
        <v>#DIV/0!</v>
      </c>
      <c r="AN75" s="92" t="n">
        <v>3.67</v>
      </c>
      <c r="AO75" s="139"/>
      <c r="AP75" s="75"/>
      <c r="AQ75" s="73" t="n">
        <f aca="false">AN75-(AN75-Q75)*(SIN((S75+AX75)*PI()/180))/(COS(AX75*PI()/180))</f>
        <v>0</v>
      </c>
      <c r="AR75" s="84" t="n">
        <f aca="false">H75+($M$1-M75)-(AN75-Q75)*(COS(S75*PI()/180))*(SIN((T75+13+2.3)*PI()/180))</f>
        <v>633905.233</v>
      </c>
      <c r="AS75" s="84" t="n">
        <f aca="false">I75+($N$1-N75)-(AN75-Q75)*(COS(S75*PI()/180))*(COS((T75+13+2.3)*PI()/180))</f>
        <v>3049240.448</v>
      </c>
      <c r="AT75" s="84" t="n">
        <f aca="false">J75+($O$1-O75)-R75+AN75-(AN75-Q75)*(SIN(S75*PI()/180))-L75</f>
        <v>56.28</v>
      </c>
      <c r="AU75" s="69"/>
      <c r="AV75" s="79"/>
      <c r="AW75" s="93" t="n">
        <f aca="false">AQ73-'Estacas Johnsons'!AQ73</f>
        <v>-0.75</v>
      </c>
      <c r="AX75" s="80"/>
    </row>
    <row r="76" customFormat="false" ht="12.75" hidden="false" customHeight="true" outlineLevel="0" collapsed="false">
      <c r="A76" s="202" t="s">
        <v>291</v>
      </c>
      <c r="B76" s="69"/>
      <c r="C76" s="69"/>
      <c r="D76" s="69"/>
      <c r="E76" s="211"/>
      <c r="F76" s="212"/>
      <c r="G76" s="88"/>
      <c r="H76" s="203"/>
      <c r="I76" s="203"/>
      <c r="J76" s="203"/>
      <c r="K76" s="204"/>
      <c r="L76" s="93"/>
      <c r="M76" s="85"/>
      <c r="N76" s="85"/>
      <c r="O76" s="85"/>
      <c r="P76" s="95"/>
      <c r="Q76" s="72"/>
      <c r="R76" s="73"/>
      <c r="S76" s="225" t="n">
        <v>90</v>
      </c>
      <c r="T76" s="203"/>
      <c r="U76" s="203"/>
      <c r="V76" s="203"/>
      <c r="W76" s="203"/>
      <c r="X76" s="203"/>
      <c r="Y76" s="203"/>
      <c r="Z76" s="203"/>
      <c r="AA76" s="203"/>
      <c r="AB76" s="203"/>
      <c r="AC76" s="203"/>
      <c r="AD76" s="203"/>
      <c r="AE76" s="203"/>
      <c r="AF76" s="203"/>
      <c r="AG76" s="203"/>
      <c r="AH76" s="203"/>
      <c r="AI76" s="203"/>
      <c r="AJ76" s="203"/>
      <c r="AK76" s="203"/>
      <c r="AL76" s="203"/>
      <c r="AM76" s="74" t="e">
        <f aca="false">AVERAGE(U76:AC76)</f>
        <v>#DIV/0!</v>
      </c>
      <c r="AN76" s="92" t="n">
        <v>3.67</v>
      </c>
      <c r="AO76" s="139"/>
      <c r="AP76" s="75"/>
      <c r="AQ76" s="73" t="n">
        <f aca="false">AN76-(AN76-Q76)*(SIN((S76+AX76)*PI()/180))/(COS(AX76*PI()/180))</f>
        <v>0</v>
      </c>
      <c r="AR76" s="84" t="n">
        <f aca="false">H76+($M$1-M76)-(AN76-Q76)*(COS(S76*PI()/180))*(SIN((T76+13+2.3)*PI()/180))</f>
        <v>633905.233</v>
      </c>
      <c r="AS76" s="84" t="n">
        <f aca="false">I76+($N$1-N76)-(AN76-Q76)*(COS(S76*PI()/180))*(COS((T76+13+2.3)*PI()/180))</f>
        <v>3049240.448</v>
      </c>
      <c r="AT76" s="84" t="n">
        <f aca="false">J76+($O$1-O76)-R76+AN76-(AN76-Q76)*(SIN(S76*PI()/180))-L76</f>
        <v>56.28</v>
      </c>
      <c r="AU76" s="69"/>
      <c r="AV76" s="79"/>
      <c r="AW76" s="93" t="n">
        <f aca="false">AQ74-'Estacas Johnsons'!AQ74</f>
        <v>-0.315</v>
      </c>
      <c r="AX76" s="80"/>
    </row>
    <row r="77" customFormat="false" ht="12.75" hidden="false" customHeight="true" outlineLevel="0" collapsed="false">
      <c r="A77" s="202" t="s">
        <v>292</v>
      </c>
      <c r="B77" s="69"/>
      <c r="C77" s="202"/>
      <c r="D77" s="69"/>
      <c r="E77" s="211"/>
      <c r="F77" s="212"/>
      <c r="G77" s="88"/>
      <c r="H77" s="203"/>
      <c r="I77" s="203"/>
      <c r="J77" s="203"/>
      <c r="K77" s="204"/>
      <c r="L77" s="93"/>
      <c r="M77" s="203"/>
      <c r="N77" s="203"/>
      <c r="O77" s="202"/>
      <c r="P77" s="226"/>
      <c r="Q77" s="72"/>
      <c r="R77" s="73"/>
      <c r="S77" s="225" t="n">
        <v>90</v>
      </c>
      <c r="T77" s="203"/>
      <c r="U77" s="203"/>
      <c r="V77" s="203"/>
      <c r="W77" s="203"/>
      <c r="X77" s="203"/>
      <c r="Y77" s="203"/>
      <c r="Z77" s="203"/>
      <c r="AA77" s="203"/>
      <c r="AB77" s="203"/>
      <c r="AC77" s="203"/>
      <c r="AD77" s="203"/>
      <c r="AE77" s="203"/>
      <c r="AF77" s="203"/>
      <c r="AG77" s="203"/>
      <c r="AH77" s="203"/>
      <c r="AI77" s="203"/>
      <c r="AJ77" s="203"/>
      <c r="AK77" s="203"/>
      <c r="AL77" s="203"/>
      <c r="AM77" s="74" t="e">
        <f aca="false">AVERAGE(U77:AC77)</f>
        <v>#DIV/0!</v>
      </c>
      <c r="AN77" s="92" t="n">
        <v>3.67</v>
      </c>
      <c r="AO77" s="139"/>
      <c r="AP77" s="75"/>
      <c r="AQ77" s="73" t="n">
        <f aca="false">AN77-(AN77-Q77)*(SIN((S77+AX77)*PI()/180))/(COS(AX77*PI()/180))</f>
        <v>0</v>
      </c>
      <c r="AR77" s="84" t="n">
        <f aca="false">H77+($M$1-M77)-(AN77-Q77)*(COS(S77*PI()/180))*(SIN((T77+13+2.3)*PI()/180))</f>
        <v>633905.233</v>
      </c>
      <c r="AS77" s="84" t="n">
        <f aca="false">I77+($N$1-N77)-(AN77-Q77)*(COS(S77*PI()/180))*(COS((T77+13+2.3)*PI()/180))</f>
        <v>3049240.448</v>
      </c>
      <c r="AT77" s="84" t="n">
        <f aca="false">J77+($O$1-O77)-R77+AN77-(AN77-Q77)*(SIN(S77*PI()/180))-L77</f>
        <v>56.28</v>
      </c>
      <c r="AU77" s="69"/>
      <c r="AV77" s="79"/>
      <c r="AW77" s="93" t="n">
        <f aca="false">AQ75-'Estacas Johnsons'!AQ75</f>
        <v>-0.51</v>
      </c>
      <c r="AX77" s="80"/>
    </row>
    <row r="78" customFormat="false" ht="12.75" hidden="false" customHeight="true" outlineLevel="0" collapsed="false">
      <c r="A78" s="202" t="s">
        <v>293</v>
      </c>
      <c r="B78" s="69"/>
      <c r="C78" s="202"/>
      <c r="D78" s="69"/>
      <c r="E78" s="211"/>
      <c r="F78" s="212"/>
      <c r="G78" s="88"/>
      <c r="H78" s="203"/>
      <c r="I78" s="203"/>
      <c r="J78" s="203"/>
      <c r="K78" s="204"/>
      <c r="L78" s="93"/>
      <c r="M78" s="203"/>
      <c r="N78" s="203"/>
      <c r="O78" s="202"/>
      <c r="P78" s="226"/>
      <c r="Q78" s="72"/>
      <c r="R78" s="73"/>
      <c r="S78" s="225" t="n">
        <v>90</v>
      </c>
      <c r="T78" s="203"/>
      <c r="U78" s="203"/>
      <c r="V78" s="203"/>
      <c r="W78" s="203"/>
      <c r="X78" s="203"/>
      <c r="Y78" s="203"/>
      <c r="Z78" s="203"/>
      <c r="AA78" s="203"/>
      <c r="AB78" s="203"/>
      <c r="AC78" s="203"/>
      <c r="AD78" s="203"/>
      <c r="AE78" s="203"/>
      <c r="AF78" s="203"/>
      <c r="AG78" s="203"/>
      <c r="AH78" s="203"/>
      <c r="AI78" s="203"/>
      <c r="AJ78" s="203"/>
      <c r="AK78" s="203"/>
      <c r="AL78" s="203"/>
      <c r="AM78" s="74" t="e">
        <f aca="false">AVERAGE(U78:AC78)</f>
        <v>#DIV/0!</v>
      </c>
      <c r="AN78" s="92" t="n">
        <v>3.67</v>
      </c>
      <c r="AO78" s="139"/>
      <c r="AP78" s="75"/>
      <c r="AQ78" s="73" t="n">
        <f aca="false">AN78-(AN78-Q78)*(SIN((S78+AX78)*PI()/180))/(COS(AX78*PI()/180))</f>
        <v>0</v>
      </c>
      <c r="AR78" s="84" t="n">
        <f aca="false">H78+($M$1-M78)-(AN78-Q78)*(COS(S78*PI()/180))*(SIN((T78+13+2.3)*PI()/180))</f>
        <v>633905.233</v>
      </c>
      <c r="AS78" s="84" t="n">
        <f aca="false">I78+($N$1-N78)-(AN78-Q78)*(COS(S78*PI()/180))*(COS((T78+13+2.3)*PI()/180))</f>
        <v>3049240.448</v>
      </c>
      <c r="AT78" s="84" t="n">
        <f aca="false">J78+($O$1-O78)-R78+AN78-(AN78-Q78)*(SIN(S78*PI()/180))-L78</f>
        <v>56.28</v>
      </c>
      <c r="AU78" s="69"/>
      <c r="AV78" s="79"/>
      <c r="AW78" s="93" t="n">
        <f aca="false">AQ76-'Estacas Johnsons'!AQ76</f>
        <v>-0.93</v>
      </c>
      <c r="AX78" s="80"/>
    </row>
    <row r="79" customFormat="false" ht="12.75" hidden="false" customHeight="true" outlineLevel="0" collapsed="false">
      <c r="A79" s="202" t="s">
        <v>294</v>
      </c>
      <c r="B79" s="69"/>
      <c r="C79" s="202"/>
      <c r="D79" s="69"/>
      <c r="E79" s="211"/>
      <c r="F79" s="212"/>
      <c r="G79" s="88"/>
      <c r="H79" s="203"/>
      <c r="I79" s="203"/>
      <c r="J79" s="203"/>
      <c r="K79" s="204"/>
      <c r="L79" s="93"/>
      <c r="M79" s="203"/>
      <c r="N79" s="203"/>
      <c r="O79" s="202"/>
      <c r="P79" s="226"/>
      <c r="Q79" s="72"/>
      <c r="R79" s="73"/>
      <c r="S79" s="225" t="n">
        <v>90</v>
      </c>
      <c r="T79" s="203"/>
      <c r="U79" s="203"/>
      <c r="V79" s="203"/>
      <c r="W79" s="203"/>
      <c r="X79" s="203"/>
      <c r="Y79" s="203"/>
      <c r="Z79" s="203"/>
      <c r="AA79" s="203"/>
      <c r="AB79" s="203"/>
      <c r="AC79" s="203"/>
      <c r="AD79" s="203"/>
      <c r="AE79" s="203"/>
      <c r="AF79" s="203"/>
      <c r="AG79" s="203"/>
      <c r="AH79" s="203"/>
      <c r="AI79" s="203"/>
      <c r="AJ79" s="203"/>
      <c r="AK79" s="203"/>
      <c r="AL79" s="203"/>
      <c r="AM79" s="74" t="e">
        <f aca="false">AVERAGE(U79:AC79)</f>
        <v>#DIV/0!</v>
      </c>
      <c r="AN79" s="92" t="n">
        <v>3.67</v>
      </c>
      <c r="AO79" s="139"/>
      <c r="AP79" s="75"/>
      <c r="AQ79" s="73" t="n">
        <f aca="false">AN79-(AN79-Q79)*(SIN((S79+AX79)*PI()/180))/(COS(AX79*PI()/180))</f>
        <v>0</v>
      </c>
      <c r="AR79" s="84" t="n">
        <f aca="false">H79+($M$1-M79)-(AN79-Q79)*(COS(S79*PI()/180))*(SIN((T79+13+2.3)*PI()/180))</f>
        <v>633905.233</v>
      </c>
      <c r="AS79" s="84" t="n">
        <f aca="false">I79+($N$1-N79)-(AN79-Q79)*(COS(S79*PI()/180))*(COS((T79+13+2.3)*PI()/180))</f>
        <v>3049240.448</v>
      </c>
      <c r="AT79" s="84" t="n">
        <f aca="false">J79+($O$1-O79)-R79+AN79-(AN79-Q79)*(SIN(S79*PI()/180))-L79</f>
        <v>56.28</v>
      </c>
      <c r="AU79" s="69"/>
      <c r="AV79" s="79"/>
      <c r="AW79" s="93" t="n">
        <f aca="false">AQ77-'Estacas Johnsons'!AQ77</f>
        <v>-1.85</v>
      </c>
      <c r="AX79" s="80"/>
    </row>
    <row r="80" customFormat="false" ht="12.75" hidden="false" customHeight="true" outlineLevel="0" collapsed="false">
      <c r="A80" s="202" t="s">
        <v>295</v>
      </c>
      <c r="B80" s="69"/>
      <c r="C80" s="202"/>
      <c r="D80" s="69"/>
      <c r="E80" s="211"/>
      <c r="F80" s="212"/>
      <c r="G80" s="88"/>
      <c r="H80" s="203"/>
      <c r="I80" s="203"/>
      <c r="J80" s="203"/>
      <c r="K80" s="204"/>
      <c r="L80" s="93"/>
      <c r="M80" s="203"/>
      <c r="N80" s="203"/>
      <c r="O80" s="202"/>
      <c r="P80" s="226"/>
      <c r="Q80" s="72"/>
      <c r="R80" s="73"/>
      <c r="S80" s="225" t="n">
        <v>90</v>
      </c>
      <c r="T80" s="203"/>
      <c r="U80" s="203"/>
      <c r="V80" s="203"/>
      <c r="W80" s="203"/>
      <c r="X80" s="203"/>
      <c r="Y80" s="203"/>
      <c r="Z80" s="203"/>
      <c r="AA80" s="203"/>
      <c r="AB80" s="203"/>
      <c r="AC80" s="203"/>
      <c r="AD80" s="203"/>
      <c r="AE80" s="203"/>
      <c r="AF80" s="203"/>
      <c r="AG80" s="203"/>
      <c r="AH80" s="203"/>
      <c r="AI80" s="203"/>
      <c r="AJ80" s="203"/>
      <c r="AK80" s="203"/>
      <c r="AL80" s="203"/>
      <c r="AM80" s="74" t="e">
        <f aca="false">AVERAGE(U80:AC80)</f>
        <v>#DIV/0!</v>
      </c>
      <c r="AN80" s="92" t="n">
        <v>3.67</v>
      </c>
      <c r="AO80" s="139"/>
      <c r="AP80" s="75"/>
      <c r="AQ80" s="73" t="n">
        <f aca="false">AN80-(AN80-Q80)*(SIN((S80+AX80)*PI()/180))/(COS(AX80*PI()/180))</f>
        <v>0</v>
      </c>
      <c r="AR80" s="84" t="n">
        <f aca="false">H80+($M$1-M80)-(AN80-Q80)*(COS(S80*PI()/180))*(SIN((T80+13+2.3)*PI()/180))</f>
        <v>633905.233</v>
      </c>
      <c r="AS80" s="84" t="n">
        <f aca="false">I80+($N$1-N80)-(AN80-Q80)*(COS(S80*PI()/180))*(COS((T80+13+2.3)*PI()/180))</f>
        <v>3049240.448</v>
      </c>
      <c r="AT80" s="84" t="n">
        <f aca="false">J80+($O$1-O80)-R80+AN80-(AN80-Q80)*(SIN(S80*PI()/180))-L80</f>
        <v>56.28</v>
      </c>
      <c r="AU80" s="69"/>
      <c r="AV80" s="79"/>
      <c r="AW80" s="93" t="n">
        <f aca="false">AQ78-'Estacas Johnsons'!AQ78</f>
        <v>-2.18</v>
      </c>
      <c r="AX80" s="80"/>
    </row>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autoFilter ref="D1:D79"/>
  <printOptions headings="false" gridLines="false" gridLinesSet="true" horizontalCentered="true" verticalCentered="true"/>
  <pageMargins left="0.315277777777778" right="0.315277777777778" top="1" bottom="1"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&amp;C&amp;A</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1" activeCellId="0" sqref="D1"/>
    </sheetView>
  </sheetViews>
  <sheetFormatPr defaultColWidth="8.6796875" defaultRowHeight="15" zeroHeight="false" outlineLevelRow="0" outlineLevelCol="0"/>
  <cols>
    <col collapsed="false" customWidth="true" hidden="false" outlineLevel="0" max="3" min="1" style="1" width="9.44"/>
    <col collapsed="false" customWidth="true" hidden="false" outlineLevel="0" max="4" min="4" style="1" width="14.43"/>
    <col collapsed="false" customWidth="true" hidden="false" outlineLevel="0" max="7" min="5" style="1" width="11.99"/>
    <col collapsed="false" customWidth="true" hidden="false" outlineLevel="0" max="9" min="8" style="1" width="6.43"/>
    <col collapsed="false" customWidth="true" hidden="false" outlineLevel="0" max="12" min="10" style="1" width="11.99"/>
    <col collapsed="false" customWidth="true" hidden="false" outlineLevel="0" max="13" min="13" style="1" width="30.43"/>
    <col collapsed="false" customWidth="true" hidden="false" outlineLevel="0" max="16" min="14" style="1" width="11.99"/>
    <col collapsed="false" customWidth="true" hidden="false" outlineLevel="0" max="26" min="17" style="1" width="11.22"/>
    <col collapsed="false" customWidth="true" hidden="false" outlineLevel="0" max="1025" min="27" style="1" width="12.67"/>
  </cols>
  <sheetData>
    <row r="1" customFormat="false" ht="12.75" hidden="false" customHeight="true" outlineLevel="0" collapsed="false">
      <c r="A1" s="14" t="s">
        <v>42</v>
      </c>
      <c r="B1" s="15" t="s">
        <v>43</v>
      </c>
      <c r="C1" s="227" t="s">
        <v>44</v>
      </c>
      <c r="D1" s="228" t="s">
        <v>45</v>
      </c>
      <c r="E1" s="18" t="s">
        <v>46</v>
      </c>
      <c r="F1" s="19" t="s">
        <v>47</v>
      </c>
      <c r="G1" s="20" t="s">
        <v>48</v>
      </c>
      <c r="H1" s="21" t="s">
        <v>49</v>
      </c>
      <c r="I1" s="22"/>
      <c r="J1" s="23"/>
      <c r="K1" s="229" t="s">
        <v>299</v>
      </c>
      <c r="L1" s="229"/>
      <c r="M1" s="229"/>
      <c r="N1" s="229"/>
      <c r="O1" s="229"/>
      <c r="P1" s="229"/>
      <c r="Q1" s="32"/>
      <c r="R1" s="32"/>
      <c r="S1" s="32"/>
      <c r="T1" s="32"/>
      <c r="U1" s="32"/>
      <c r="V1" s="32"/>
      <c r="W1" s="32"/>
      <c r="X1" s="32"/>
      <c r="Y1" s="32"/>
      <c r="Z1" s="32"/>
    </row>
    <row r="2" customFormat="false" ht="12.75" hidden="false" customHeight="true" outlineLevel="0" collapsed="false">
      <c r="A2" s="34" t="s">
        <v>300</v>
      </c>
      <c r="B2" s="36" t="s">
        <v>53</v>
      </c>
      <c r="C2" s="35" t="s">
        <v>54</v>
      </c>
      <c r="D2" s="230" t="s">
        <v>58</v>
      </c>
      <c r="E2" s="40" t="s">
        <v>1</v>
      </c>
      <c r="F2" s="41" t="s">
        <v>3</v>
      </c>
      <c r="G2" s="41" t="s">
        <v>5</v>
      </c>
      <c r="H2" s="41" t="s">
        <v>59</v>
      </c>
      <c r="I2" s="42" t="s">
        <v>60</v>
      </c>
      <c r="J2" s="43" t="s">
        <v>11</v>
      </c>
      <c r="K2" s="43" t="s">
        <v>61</v>
      </c>
      <c r="L2" s="43" t="s">
        <v>15</v>
      </c>
      <c r="M2" s="44" t="s">
        <v>62</v>
      </c>
      <c r="N2" s="57" t="s">
        <v>72</v>
      </c>
      <c r="O2" s="58" t="s">
        <v>73</v>
      </c>
      <c r="P2" s="58" t="s">
        <v>74</v>
      </c>
      <c r="Q2" s="59"/>
      <c r="R2" s="59"/>
      <c r="S2" s="59"/>
      <c r="T2" s="59"/>
      <c r="U2" s="59"/>
      <c r="V2" s="59"/>
      <c r="W2" s="59"/>
      <c r="X2" s="59"/>
      <c r="Y2" s="59"/>
      <c r="Z2" s="59"/>
    </row>
    <row r="3" customFormat="false" ht="12.75" hidden="false" customHeight="true" outlineLevel="0" collapsed="false">
      <c r="A3" s="60"/>
      <c r="B3" s="231" t="s">
        <v>77</v>
      </c>
      <c r="C3" s="232" t="s">
        <v>78</v>
      </c>
      <c r="D3" s="233"/>
      <c r="E3" s="62" t="s">
        <v>81</v>
      </c>
      <c r="F3" s="62" t="s">
        <v>82</v>
      </c>
      <c r="G3" s="62" t="s">
        <v>83</v>
      </c>
      <c r="H3" s="69"/>
      <c r="I3" s="70"/>
      <c r="J3" s="67" t="s">
        <v>84</v>
      </c>
      <c r="K3" s="67" t="s">
        <v>85</v>
      </c>
      <c r="L3" s="68" t="s">
        <v>86</v>
      </c>
      <c r="M3" s="71"/>
      <c r="N3" s="78" t="s">
        <v>81</v>
      </c>
      <c r="O3" s="67" t="s">
        <v>82</v>
      </c>
      <c r="P3" s="68" t="s">
        <v>83</v>
      </c>
      <c r="Q3" s="59"/>
      <c r="R3" s="59"/>
      <c r="S3" s="59"/>
      <c r="T3" s="59"/>
      <c r="U3" s="59"/>
      <c r="V3" s="59"/>
      <c r="W3" s="59"/>
      <c r="X3" s="59"/>
      <c r="Y3" s="59"/>
      <c r="Z3" s="59"/>
    </row>
    <row r="4" customFormat="false" ht="12.75" hidden="false" customHeight="true" outlineLevel="0" collapsed="false">
      <c r="A4" s="69"/>
      <c r="B4" s="70"/>
      <c r="C4" s="69"/>
      <c r="D4" s="94"/>
      <c r="E4" s="68"/>
      <c r="F4" s="83"/>
      <c r="G4" s="68"/>
      <c r="H4" s="69"/>
      <c r="I4" s="70"/>
      <c r="J4" s="70"/>
      <c r="K4" s="70"/>
      <c r="L4" s="70"/>
      <c r="M4" s="71"/>
      <c r="N4" s="86"/>
      <c r="O4" s="83"/>
      <c r="P4" s="83"/>
      <c r="Q4" s="59"/>
      <c r="R4" s="59"/>
      <c r="S4" s="59"/>
      <c r="T4" s="59"/>
      <c r="U4" s="59"/>
      <c r="V4" s="59"/>
      <c r="W4" s="59"/>
      <c r="X4" s="59"/>
      <c r="Y4" s="59"/>
      <c r="Z4" s="59"/>
    </row>
    <row r="5" customFormat="false" ht="12.75" hidden="false" customHeight="true" outlineLevel="0" collapsed="false">
      <c r="A5" s="69"/>
      <c r="B5" s="70"/>
      <c r="C5" s="69"/>
      <c r="D5" s="68"/>
      <c r="E5" s="73"/>
      <c r="F5" s="74"/>
      <c r="G5" s="74"/>
      <c r="H5" s="69"/>
      <c r="I5" s="86"/>
      <c r="J5" s="84"/>
      <c r="K5" s="84"/>
      <c r="L5" s="84"/>
      <c r="M5" s="75"/>
      <c r="N5" s="73" t="n">
        <f aca="false">E5</f>
        <v>0</v>
      </c>
      <c r="O5" s="74" t="n">
        <f aca="false">F5</f>
        <v>0</v>
      </c>
      <c r="P5" s="74" t="n">
        <f aca="false">G5-I5</f>
        <v>0</v>
      </c>
      <c r="Q5" s="59"/>
      <c r="R5" s="59"/>
      <c r="S5" s="59"/>
      <c r="T5" s="59"/>
      <c r="U5" s="59"/>
      <c r="V5" s="59"/>
      <c r="W5" s="59"/>
      <c r="X5" s="59"/>
      <c r="Y5" s="59"/>
      <c r="Z5" s="59"/>
    </row>
    <row r="6" customFormat="false" ht="12.75" hidden="false" customHeight="true" outlineLevel="0" collapsed="false">
      <c r="A6" s="69"/>
      <c r="B6" s="70"/>
      <c r="C6" s="69"/>
      <c r="D6" s="68"/>
      <c r="E6" s="73"/>
      <c r="F6" s="74"/>
      <c r="G6" s="74"/>
      <c r="H6" s="69"/>
      <c r="I6" s="86"/>
      <c r="J6" s="84"/>
      <c r="K6" s="84"/>
      <c r="L6" s="84"/>
      <c r="M6" s="75"/>
      <c r="N6" s="73" t="n">
        <f aca="false">E6</f>
        <v>0</v>
      </c>
      <c r="O6" s="74" t="n">
        <f aca="false">F6</f>
        <v>0</v>
      </c>
      <c r="P6" s="74" t="n">
        <f aca="false">G6-I6</f>
        <v>0</v>
      </c>
      <c r="Q6" s="59"/>
      <c r="R6" s="59"/>
      <c r="S6" s="59"/>
      <c r="T6" s="59"/>
      <c r="U6" s="59"/>
      <c r="V6" s="59"/>
      <c r="W6" s="59"/>
      <c r="X6" s="59"/>
      <c r="Y6" s="59"/>
      <c r="Z6" s="59"/>
    </row>
    <row r="7" customFormat="false" ht="12.75" hidden="false" customHeight="true" outlineLevel="0" collapsed="false">
      <c r="A7" s="69"/>
      <c r="B7" s="70"/>
      <c r="C7" s="69"/>
      <c r="D7" s="68"/>
      <c r="E7" s="73"/>
      <c r="F7" s="74"/>
      <c r="G7" s="74"/>
      <c r="H7" s="69"/>
      <c r="I7" s="86"/>
      <c r="J7" s="84"/>
      <c r="K7" s="84"/>
      <c r="L7" s="84"/>
      <c r="M7" s="75"/>
      <c r="N7" s="73" t="n">
        <f aca="false">E7</f>
        <v>0</v>
      </c>
      <c r="O7" s="74" t="n">
        <f aca="false">F7</f>
        <v>0</v>
      </c>
      <c r="P7" s="74" t="n">
        <f aca="false">G7-I7</f>
        <v>0</v>
      </c>
      <c r="Q7" s="59"/>
      <c r="R7" s="59"/>
      <c r="S7" s="59"/>
      <c r="T7" s="59"/>
      <c r="U7" s="59"/>
      <c r="V7" s="59"/>
      <c r="W7" s="59"/>
      <c r="X7" s="59"/>
      <c r="Y7" s="59"/>
      <c r="Z7" s="59"/>
    </row>
    <row r="8" customFormat="false" ht="12.75" hidden="false" customHeight="true" outlineLevel="0" collapsed="false">
      <c r="B8" s="70"/>
      <c r="C8" s="69"/>
      <c r="D8" s="68"/>
      <c r="E8" s="73"/>
      <c r="F8" s="74"/>
      <c r="G8" s="74"/>
      <c r="H8" s="69"/>
      <c r="I8" s="86"/>
      <c r="J8" s="84"/>
      <c r="K8" s="84"/>
      <c r="L8" s="84"/>
      <c r="M8" s="75"/>
      <c r="N8" s="73" t="n">
        <f aca="false">E8</f>
        <v>0</v>
      </c>
      <c r="O8" s="74" t="n">
        <f aca="false">F8</f>
        <v>0</v>
      </c>
      <c r="P8" s="74" t="n">
        <f aca="false">G8-I8</f>
        <v>0</v>
      </c>
      <c r="Q8" s="59"/>
      <c r="R8" s="59"/>
      <c r="S8" s="59"/>
      <c r="T8" s="59"/>
      <c r="U8" s="59"/>
      <c r="V8" s="59"/>
      <c r="W8" s="59"/>
      <c r="X8" s="59"/>
      <c r="Y8" s="59"/>
      <c r="Z8" s="59"/>
    </row>
    <row r="9" customFormat="false" ht="12.75" hidden="false" customHeight="true" outlineLevel="0" collapsed="false">
      <c r="A9" s="69"/>
      <c r="B9" s="70"/>
      <c r="C9" s="69"/>
      <c r="D9" s="68"/>
      <c r="E9" s="73"/>
      <c r="F9" s="74"/>
      <c r="G9" s="74"/>
      <c r="H9" s="69"/>
      <c r="I9" s="86"/>
      <c r="J9" s="84"/>
      <c r="K9" s="84"/>
      <c r="L9" s="84"/>
      <c r="M9" s="75"/>
      <c r="N9" s="73" t="n">
        <f aca="false">E9</f>
        <v>0</v>
      </c>
      <c r="O9" s="74" t="n">
        <f aca="false">F9</f>
        <v>0</v>
      </c>
      <c r="P9" s="74" t="n">
        <f aca="false">G9-I9</f>
        <v>0</v>
      </c>
      <c r="Q9" s="59"/>
      <c r="R9" s="59"/>
      <c r="S9" s="59"/>
      <c r="T9" s="59"/>
      <c r="U9" s="59"/>
      <c r="V9" s="59"/>
      <c r="W9" s="59"/>
      <c r="X9" s="59"/>
      <c r="Y9" s="59"/>
      <c r="Z9" s="59"/>
    </row>
    <row r="10" customFormat="false" ht="12.75" hidden="false" customHeight="true" outlineLevel="0" collapsed="false">
      <c r="A10" s="69"/>
      <c r="B10" s="70"/>
      <c r="C10" s="69"/>
      <c r="D10" s="68"/>
      <c r="E10" s="73"/>
      <c r="F10" s="74"/>
      <c r="G10" s="74"/>
      <c r="H10" s="69"/>
      <c r="I10" s="86"/>
      <c r="J10" s="84"/>
      <c r="K10" s="84"/>
      <c r="L10" s="84"/>
      <c r="M10" s="75"/>
      <c r="N10" s="73" t="n">
        <f aca="false">E10</f>
        <v>0</v>
      </c>
      <c r="O10" s="74" t="n">
        <f aca="false">F10</f>
        <v>0</v>
      </c>
      <c r="P10" s="74" t="n">
        <f aca="false">G10-I10</f>
        <v>0</v>
      </c>
      <c r="Q10" s="59"/>
      <c r="R10" s="59"/>
      <c r="S10" s="59"/>
      <c r="T10" s="59"/>
      <c r="U10" s="59"/>
      <c r="V10" s="59"/>
      <c r="W10" s="59"/>
      <c r="X10" s="59"/>
      <c r="Y10" s="59"/>
      <c r="Z10" s="59"/>
    </row>
    <row r="11" customFormat="false" ht="12.75" hidden="false" customHeight="true" outlineLevel="0" collapsed="false">
      <c r="A11" s="69"/>
      <c r="B11" s="70"/>
      <c r="C11" s="69"/>
      <c r="D11" s="68"/>
      <c r="E11" s="73"/>
      <c r="F11" s="74"/>
      <c r="G11" s="74"/>
      <c r="H11" s="69"/>
      <c r="I11" s="86"/>
      <c r="J11" s="84"/>
      <c r="K11" s="84"/>
      <c r="L11" s="84"/>
      <c r="M11" s="75"/>
      <c r="N11" s="73" t="n">
        <f aca="false">E11</f>
        <v>0</v>
      </c>
      <c r="O11" s="74" t="n">
        <f aca="false">F11</f>
        <v>0</v>
      </c>
      <c r="P11" s="74" t="n">
        <f aca="false">G11-I11</f>
        <v>0</v>
      </c>
      <c r="Q11" s="59"/>
      <c r="R11" s="59"/>
      <c r="S11" s="59"/>
      <c r="T11" s="59"/>
      <c r="U11" s="59"/>
      <c r="V11" s="59"/>
      <c r="W11" s="59"/>
      <c r="X11" s="59"/>
      <c r="Y11" s="59"/>
      <c r="Z11" s="59"/>
    </row>
    <row r="12" customFormat="false" ht="12.75" hidden="false" customHeight="true" outlineLevel="0" collapsed="false">
      <c r="A12" s="69"/>
      <c r="B12" s="70"/>
      <c r="C12" s="69"/>
      <c r="D12" s="68"/>
      <c r="E12" s="73"/>
      <c r="F12" s="74"/>
      <c r="G12" s="74"/>
      <c r="H12" s="69"/>
      <c r="I12" s="86"/>
      <c r="J12" s="84"/>
      <c r="K12" s="84"/>
      <c r="L12" s="84"/>
      <c r="M12" s="75"/>
      <c r="N12" s="73" t="n">
        <f aca="false">E12</f>
        <v>0</v>
      </c>
      <c r="O12" s="74" t="n">
        <f aca="false">F12</f>
        <v>0</v>
      </c>
      <c r="P12" s="74" t="n">
        <f aca="false">G12-I12</f>
        <v>0</v>
      </c>
      <c r="Q12" s="59"/>
      <c r="R12" s="59"/>
      <c r="S12" s="59"/>
      <c r="T12" s="59"/>
      <c r="U12" s="59"/>
      <c r="V12" s="59"/>
      <c r="W12" s="59"/>
      <c r="X12" s="59"/>
      <c r="Y12" s="59"/>
      <c r="Z12" s="59"/>
    </row>
    <row r="13" customFormat="false" ht="12.75" hidden="false" customHeight="true" outlineLevel="0" collapsed="false">
      <c r="A13" s="69"/>
      <c r="B13" s="70"/>
      <c r="C13" s="69"/>
      <c r="D13" s="68"/>
      <c r="E13" s="73"/>
      <c r="F13" s="74"/>
      <c r="G13" s="74"/>
      <c r="H13" s="69"/>
      <c r="I13" s="86"/>
      <c r="J13" s="84"/>
      <c r="K13" s="84"/>
      <c r="L13" s="84"/>
      <c r="M13" s="75"/>
      <c r="N13" s="73" t="n">
        <f aca="false">E13</f>
        <v>0</v>
      </c>
      <c r="O13" s="74" t="n">
        <f aca="false">F13</f>
        <v>0</v>
      </c>
      <c r="P13" s="74" t="n">
        <f aca="false">G13-I13</f>
        <v>0</v>
      </c>
      <c r="Q13" s="59"/>
      <c r="R13" s="59"/>
      <c r="S13" s="59"/>
      <c r="T13" s="59"/>
      <c r="U13" s="59"/>
      <c r="V13" s="59"/>
      <c r="W13" s="59"/>
      <c r="X13" s="59"/>
      <c r="Y13" s="59"/>
      <c r="Z13" s="59"/>
    </row>
    <row r="14" customFormat="false" ht="12.75" hidden="false" customHeight="true" outlineLevel="0" collapsed="false">
      <c r="A14" s="69"/>
      <c r="B14" s="70"/>
      <c r="C14" s="69"/>
      <c r="D14" s="68"/>
      <c r="E14" s="73"/>
      <c r="F14" s="74"/>
      <c r="G14" s="74"/>
      <c r="H14" s="69"/>
      <c r="I14" s="86"/>
      <c r="J14" s="84"/>
      <c r="K14" s="84"/>
      <c r="L14" s="84"/>
      <c r="M14" s="75"/>
      <c r="N14" s="73" t="n">
        <f aca="false">E14</f>
        <v>0</v>
      </c>
      <c r="O14" s="74" t="n">
        <f aca="false">F14</f>
        <v>0</v>
      </c>
      <c r="P14" s="74" t="n">
        <f aca="false">G14-I14</f>
        <v>0</v>
      </c>
      <c r="Q14" s="59"/>
      <c r="R14" s="59"/>
      <c r="S14" s="59"/>
      <c r="T14" s="59"/>
      <c r="U14" s="59"/>
      <c r="V14" s="59"/>
      <c r="W14" s="59"/>
      <c r="X14" s="59"/>
      <c r="Y14" s="59"/>
      <c r="Z14" s="59"/>
    </row>
    <row r="15" customFormat="false" ht="12.75" hidden="false" customHeight="true" outlineLevel="0" collapsed="false">
      <c r="A15" s="69"/>
      <c r="B15" s="70"/>
      <c r="C15" s="69"/>
      <c r="D15" s="68"/>
      <c r="E15" s="73"/>
      <c r="F15" s="74"/>
      <c r="G15" s="74"/>
      <c r="H15" s="69"/>
      <c r="I15" s="86"/>
      <c r="J15" s="84"/>
      <c r="K15" s="84"/>
      <c r="L15" s="84"/>
      <c r="M15" s="75"/>
      <c r="N15" s="73" t="n">
        <f aca="false">E15</f>
        <v>0</v>
      </c>
      <c r="O15" s="74" t="n">
        <f aca="false">F15</f>
        <v>0</v>
      </c>
      <c r="P15" s="74" t="n">
        <f aca="false">G15-I15</f>
        <v>0</v>
      </c>
      <c r="Q15" s="59"/>
      <c r="R15" s="59"/>
      <c r="S15" s="59"/>
      <c r="T15" s="59"/>
      <c r="U15" s="59"/>
      <c r="V15" s="59"/>
      <c r="W15" s="59"/>
      <c r="X15" s="59"/>
      <c r="Y15" s="59"/>
      <c r="Z15" s="59"/>
    </row>
    <row r="16" customFormat="false" ht="15" hidden="false" customHeight="true" outlineLevel="0" collapsed="false">
      <c r="A16" s="69"/>
      <c r="B16" s="70"/>
      <c r="C16" s="69"/>
      <c r="D16" s="68"/>
      <c r="E16" s="73"/>
      <c r="F16" s="74"/>
      <c r="G16" s="74"/>
      <c r="H16" s="69"/>
      <c r="I16" s="86"/>
      <c r="J16" s="84"/>
      <c r="K16" s="84"/>
      <c r="L16" s="84"/>
      <c r="M16" s="75"/>
      <c r="N16" s="73" t="n">
        <f aca="false">E16</f>
        <v>0</v>
      </c>
      <c r="O16" s="74" t="n">
        <f aca="false">F16</f>
        <v>0</v>
      </c>
      <c r="P16" s="74" t="n">
        <f aca="false">G16-I16</f>
        <v>0</v>
      </c>
      <c r="Q16" s="59"/>
      <c r="R16" s="59"/>
      <c r="S16" s="59"/>
      <c r="T16" s="59"/>
      <c r="U16" s="59"/>
      <c r="V16" s="59"/>
      <c r="W16" s="59"/>
      <c r="X16" s="59"/>
      <c r="Y16" s="59"/>
      <c r="Z16" s="59"/>
    </row>
    <row r="17" customFormat="false" ht="12.75" hidden="false" customHeight="true" outlineLevel="0" collapsed="false">
      <c r="A17" s="69"/>
      <c r="B17" s="70"/>
      <c r="C17" s="69"/>
      <c r="D17" s="68"/>
      <c r="E17" s="73"/>
      <c r="F17" s="74"/>
      <c r="G17" s="74"/>
      <c r="H17" s="69"/>
      <c r="I17" s="86"/>
      <c r="J17" s="84"/>
      <c r="K17" s="84"/>
      <c r="L17" s="84"/>
      <c r="M17" s="75"/>
      <c r="N17" s="73" t="n">
        <f aca="false">E17</f>
        <v>0</v>
      </c>
      <c r="O17" s="74" t="n">
        <f aca="false">F17</f>
        <v>0</v>
      </c>
      <c r="P17" s="74" t="n">
        <f aca="false">G17-I17</f>
        <v>0</v>
      </c>
      <c r="Q17" s="59"/>
      <c r="R17" s="59"/>
      <c r="S17" s="59"/>
      <c r="T17" s="59"/>
      <c r="U17" s="59"/>
      <c r="V17" s="59"/>
      <c r="W17" s="59"/>
      <c r="X17" s="59"/>
      <c r="Y17" s="59"/>
      <c r="Z17" s="59"/>
    </row>
    <row r="18" customFormat="false" ht="12.75" hidden="false" customHeight="true" outlineLevel="0" collapsed="false">
      <c r="A18" s="69"/>
      <c r="B18" s="70"/>
      <c r="C18" s="69"/>
      <c r="D18" s="68"/>
      <c r="E18" s="73"/>
      <c r="F18" s="74"/>
      <c r="G18" s="74"/>
      <c r="H18" s="69"/>
      <c r="I18" s="86"/>
      <c r="J18" s="84"/>
      <c r="K18" s="84"/>
      <c r="L18" s="84"/>
      <c r="M18" s="75"/>
      <c r="N18" s="73" t="n">
        <f aca="false">E18</f>
        <v>0</v>
      </c>
      <c r="O18" s="74" t="n">
        <f aca="false">F18</f>
        <v>0</v>
      </c>
      <c r="P18" s="74" t="n">
        <f aca="false">G18-I18</f>
        <v>0</v>
      </c>
      <c r="Q18" s="59"/>
      <c r="R18" s="59"/>
      <c r="S18" s="59"/>
      <c r="T18" s="59"/>
      <c r="U18" s="59"/>
      <c r="V18" s="59"/>
      <c r="W18" s="59"/>
      <c r="X18" s="59"/>
      <c r="Y18" s="59"/>
      <c r="Z18" s="59"/>
    </row>
    <row r="19" customFormat="false" ht="12.75" hidden="false" customHeight="true" outlineLevel="0" collapsed="false">
      <c r="A19" s="69"/>
      <c r="B19" s="70"/>
      <c r="C19" s="69"/>
      <c r="D19" s="68"/>
      <c r="E19" s="73"/>
      <c r="F19" s="74"/>
      <c r="G19" s="74"/>
      <c r="H19" s="69"/>
      <c r="I19" s="86"/>
      <c r="J19" s="84"/>
      <c r="K19" s="84"/>
      <c r="L19" s="84"/>
      <c r="M19" s="75"/>
      <c r="N19" s="73" t="n">
        <f aca="false">E19</f>
        <v>0</v>
      </c>
      <c r="O19" s="74" t="n">
        <f aca="false">F19</f>
        <v>0</v>
      </c>
      <c r="P19" s="74" t="n">
        <f aca="false">G19-I19</f>
        <v>0</v>
      </c>
      <c r="Q19" s="59"/>
      <c r="R19" s="59"/>
      <c r="S19" s="59"/>
      <c r="T19" s="59"/>
      <c r="U19" s="59"/>
      <c r="V19" s="59"/>
      <c r="W19" s="59"/>
      <c r="X19" s="59"/>
      <c r="Y19" s="59"/>
      <c r="Z19" s="59"/>
    </row>
    <row r="20" customFormat="false" ht="12.75" hidden="false" customHeight="true" outlineLevel="0" collapsed="false">
      <c r="A20" s="69"/>
      <c r="B20" s="70"/>
      <c r="C20" s="69"/>
      <c r="D20" s="68"/>
      <c r="E20" s="73"/>
      <c r="F20" s="74"/>
      <c r="G20" s="74"/>
      <c r="H20" s="69"/>
      <c r="I20" s="86"/>
      <c r="J20" s="84"/>
      <c r="K20" s="84"/>
      <c r="L20" s="84"/>
      <c r="M20" s="75"/>
      <c r="N20" s="73" t="n">
        <f aca="false">E20</f>
        <v>0</v>
      </c>
      <c r="O20" s="74" t="n">
        <f aca="false">F20</f>
        <v>0</v>
      </c>
      <c r="P20" s="74" t="n">
        <f aca="false">G20-I20</f>
        <v>0</v>
      </c>
      <c r="Q20" s="59"/>
      <c r="R20" s="59"/>
      <c r="S20" s="59"/>
      <c r="T20" s="59"/>
      <c r="U20" s="59"/>
      <c r="V20" s="59"/>
      <c r="W20" s="59"/>
      <c r="X20" s="59"/>
      <c r="Y20" s="59"/>
      <c r="Z20" s="59"/>
    </row>
    <row r="21" customFormat="false" ht="12.75" hidden="false" customHeight="true" outlineLevel="0" collapsed="false">
      <c r="A21" s="60"/>
      <c r="B21" s="70"/>
      <c r="C21" s="69"/>
      <c r="D21" s="68"/>
      <c r="E21" s="73"/>
      <c r="F21" s="74"/>
      <c r="G21" s="74"/>
      <c r="H21" s="69"/>
      <c r="I21" s="86"/>
      <c r="J21" s="84"/>
      <c r="K21" s="84"/>
      <c r="L21" s="84"/>
      <c r="M21" s="75"/>
      <c r="N21" s="73" t="n">
        <f aca="false">E21</f>
        <v>0</v>
      </c>
      <c r="O21" s="74" t="n">
        <f aca="false">F21</f>
        <v>0</v>
      </c>
      <c r="P21" s="74" t="n">
        <f aca="false">G21-I21</f>
        <v>0</v>
      </c>
      <c r="Q21" s="59"/>
      <c r="R21" s="59"/>
      <c r="S21" s="59"/>
      <c r="T21" s="59"/>
      <c r="U21" s="59"/>
      <c r="V21" s="59"/>
      <c r="W21" s="59"/>
      <c r="X21" s="59"/>
      <c r="Y21" s="59"/>
      <c r="Z21" s="59"/>
    </row>
    <row r="22" customFormat="false" ht="12.75" hidden="false" customHeight="true" outlineLevel="0" collapsed="false">
      <c r="A22" s="60"/>
      <c r="B22" s="70"/>
      <c r="C22" s="69"/>
      <c r="D22" s="68"/>
      <c r="E22" s="73"/>
      <c r="F22" s="74"/>
      <c r="G22" s="74"/>
      <c r="H22" s="69"/>
      <c r="I22" s="86"/>
      <c r="J22" s="84"/>
      <c r="K22" s="84"/>
      <c r="L22" s="84"/>
      <c r="M22" s="75"/>
      <c r="N22" s="73" t="n">
        <f aca="false">E22</f>
        <v>0</v>
      </c>
      <c r="O22" s="74" t="n">
        <f aca="false">F22</f>
        <v>0</v>
      </c>
      <c r="P22" s="74" t="n">
        <f aca="false">G22-I22</f>
        <v>0</v>
      </c>
      <c r="Q22" s="59"/>
      <c r="R22" s="59"/>
      <c r="S22" s="59"/>
      <c r="T22" s="59"/>
      <c r="U22" s="59"/>
      <c r="V22" s="59"/>
      <c r="W22" s="59"/>
      <c r="X22" s="59"/>
      <c r="Y22" s="59"/>
      <c r="Z22" s="59"/>
    </row>
    <row r="23" customFormat="false" ht="12.75" hidden="false" customHeight="true" outlineLevel="0" collapsed="false">
      <c r="A23" s="60"/>
      <c r="B23" s="70"/>
      <c r="C23" s="69"/>
      <c r="D23" s="68"/>
      <c r="E23" s="73"/>
      <c r="F23" s="74"/>
      <c r="G23" s="74"/>
      <c r="H23" s="69"/>
      <c r="I23" s="86"/>
      <c r="J23" s="84"/>
      <c r="K23" s="84"/>
      <c r="L23" s="84"/>
      <c r="M23" s="75"/>
      <c r="N23" s="73" t="n">
        <f aca="false">E23</f>
        <v>0</v>
      </c>
      <c r="O23" s="74" t="n">
        <f aca="false">F23</f>
        <v>0</v>
      </c>
      <c r="P23" s="74" t="n">
        <f aca="false">G23-I23</f>
        <v>0</v>
      </c>
      <c r="Q23" s="59"/>
      <c r="R23" s="59"/>
      <c r="S23" s="59"/>
      <c r="T23" s="59"/>
      <c r="U23" s="59"/>
      <c r="V23" s="59"/>
      <c r="W23" s="59"/>
      <c r="X23" s="59"/>
      <c r="Y23" s="59"/>
      <c r="Z23" s="59"/>
    </row>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K1:P1"/>
  </mergeCells>
  <printOptions headings="false" gridLines="false" gridLinesSet="true" horizontalCentered="true" verticalCentered="true"/>
  <pageMargins left="0.315277777777778" right="0.315277777777778" top="1" bottom="1"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&amp;C&amp;A</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6" min="1" style="1" width="10.88"/>
    <col collapsed="false" customWidth="true" hidden="false" outlineLevel="0" max="1025" min="27" style="1" width="12.67"/>
  </cols>
  <sheetData>
    <row r="1" customFormat="false" ht="12.75" hidden="false" customHeight="true" outlineLevel="0" collapsed="false">
      <c r="A1" s="34" t="s">
        <v>52</v>
      </c>
      <c r="B1" s="41" t="s">
        <v>301</v>
      </c>
      <c r="C1" s="41" t="s">
        <v>302</v>
      </c>
      <c r="D1" s="41" t="s">
        <v>303</v>
      </c>
      <c r="E1" s="47" t="s">
        <v>22</v>
      </c>
      <c r="F1" s="48" t="s">
        <v>24</v>
      </c>
      <c r="G1" s="54" t="s">
        <v>304</v>
      </c>
      <c r="H1" s="54" t="s">
        <v>305</v>
      </c>
      <c r="I1" s="48" t="s">
        <v>26</v>
      </c>
      <c r="J1" s="234" t="s">
        <v>63</v>
      </c>
      <c r="K1" s="234" t="s">
        <v>306</v>
      </c>
      <c r="L1" s="235" t="s">
        <v>1</v>
      </c>
      <c r="M1" s="235" t="s">
        <v>3</v>
      </c>
      <c r="N1" s="235" t="s">
        <v>5</v>
      </c>
    </row>
    <row r="2" customFormat="false" ht="12.75" hidden="false" customHeight="true" outlineLevel="0" collapsed="false">
      <c r="B2" s="236"/>
      <c r="C2" s="236"/>
      <c r="D2" s="236"/>
      <c r="J2" s="134" t="e">
        <f aca="false">G2*COS(I2*PI()/180)/SIN((E2+I2)*PI()/180)</f>
        <v>#DIV/0!</v>
      </c>
      <c r="K2" s="134" t="n">
        <f aca="false">H2</f>
        <v>0</v>
      </c>
      <c r="L2" s="134" t="e">
        <f aca="false">B2-(J2*COS(E2*PI()/180))*SIN((F2-13)*PI()/180)</f>
        <v>#DIV/0!</v>
      </c>
      <c r="M2" s="134" t="e">
        <f aca="false">C2-(J2*COS(E2*PI()/180))*COS((F2-13)*PI()/180)</f>
        <v>#DIV/0!</v>
      </c>
      <c r="N2" s="134" t="e">
        <f aca="false">D2+G2*COS(E2*PI()/180)*SIN(I2*PI()/180)/SIN((E2+I2)*PI()/180)</f>
        <v>#DIV/0!</v>
      </c>
    </row>
    <row r="3" customFormat="false" ht="12.75" hidden="false" customHeight="true" outlineLevel="0" collapsed="false">
      <c r="J3" s="134" t="e">
        <f aca="false">G3*COS(I3*PI()/180)/SIN((E3+I3)*PI()/180)</f>
        <v>#DIV/0!</v>
      </c>
      <c r="K3" s="134" t="n">
        <f aca="false">H3</f>
        <v>0</v>
      </c>
      <c r="L3" s="134" t="e">
        <f aca="false">B3-(J3*COS(E3*PI()/180))*SIN((F3-13)*PI()/180)</f>
        <v>#DIV/0!</v>
      </c>
      <c r="M3" s="134" t="e">
        <f aca="false">C3-(J3*COS(E3*PI()/180))*COS((F3-13)*PI()/180)</f>
        <v>#DIV/0!</v>
      </c>
      <c r="N3" s="134" t="e">
        <f aca="false">D3+G3*COS(E3*PI()/180)*SIN(I3*PI()/180)/SIN((E3+I3)*PI()/180)</f>
        <v>#DIV/0!</v>
      </c>
    </row>
    <row r="4" customFormat="false" ht="12.75" hidden="false" customHeight="true" outlineLevel="0" collapsed="false">
      <c r="J4" s="134" t="e">
        <f aca="false">G4*COS(I4*PI()/180)/SIN((E4+I4)*PI()/180)</f>
        <v>#DIV/0!</v>
      </c>
      <c r="K4" s="134" t="n">
        <f aca="false">H4</f>
        <v>0</v>
      </c>
      <c r="L4" s="134" t="e">
        <f aca="false">B4-(J4*COS(E4*PI()/180))*SIN((F4-13)*PI()/180)</f>
        <v>#DIV/0!</v>
      </c>
      <c r="M4" s="134" t="e">
        <f aca="false">C4-(J4*COS(E4*PI()/180))*COS((F4-13)*PI()/180)</f>
        <v>#DIV/0!</v>
      </c>
      <c r="N4" s="134" t="e">
        <f aca="false">D4+G4*COS(E4*PI()/180)*SIN(I4*PI()/180)/SIN((E4+I4)*PI()/180)</f>
        <v>#DIV/0!</v>
      </c>
    </row>
    <row r="5" customFormat="false" ht="12.75" hidden="false" customHeight="true" outlineLevel="0" collapsed="false">
      <c r="J5" s="134" t="e">
        <f aca="false">G5*COS(I5*PI()/180)/SIN((E5+I5)*PI()/180)</f>
        <v>#DIV/0!</v>
      </c>
      <c r="K5" s="134" t="n">
        <f aca="false">H5</f>
        <v>0</v>
      </c>
      <c r="L5" s="134" t="e">
        <f aca="false">B5-(J5*COS(E5*PI()/180))*SIN((F5-13)*PI()/180)</f>
        <v>#DIV/0!</v>
      </c>
      <c r="M5" s="134" t="e">
        <f aca="false">C5-(J5*COS(E5*PI()/180))*COS((F5-13)*PI()/180)</f>
        <v>#DIV/0!</v>
      </c>
      <c r="N5" s="134" t="e">
        <f aca="false">D5+G5*COS(E5*PI()/180)*SIN(I5*PI()/180)/SIN((E5+I5)*PI()/180)</f>
        <v>#DIV/0!</v>
      </c>
    </row>
    <row r="6" customFormat="false" ht="12.75" hidden="false" customHeight="true" outlineLevel="0" collapsed="false">
      <c r="J6" s="134" t="e">
        <f aca="false">G6*COS(I6*PI()/180)/SIN((E6+I6)*PI()/180)</f>
        <v>#DIV/0!</v>
      </c>
      <c r="K6" s="134" t="n">
        <f aca="false">H6</f>
        <v>0</v>
      </c>
      <c r="L6" s="134" t="e">
        <f aca="false">B6-(J6*COS(E6*PI()/180))*SIN((F6-13)*PI()/180)</f>
        <v>#DIV/0!</v>
      </c>
      <c r="M6" s="134" t="e">
        <f aca="false">C6-(J6*COS(E6*PI()/180))*COS((F6-13)*PI()/180)</f>
        <v>#DIV/0!</v>
      </c>
      <c r="N6" s="134" t="e">
        <f aca="false">D6+G6*COS(E6*PI()/180)*SIN(I6*PI()/180)/SIN((E6+I6)*PI()/180)</f>
        <v>#DIV/0!</v>
      </c>
    </row>
    <row r="7" customFormat="false" ht="12.75" hidden="false" customHeight="true" outlineLevel="0" collapsed="false">
      <c r="J7" s="134" t="e">
        <f aca="false">G7*COS(I7*PI()/180)/SIN((E7+I7)*PI()/180)</f>
        <v>#DIV/0!</v>
      </c>
      <c r="K7" s="134" t="n">
        <f aca="false">H7</f>
        <v>0</v>
      </c>
      <c r="L7" s="134" t="e">
        <f aca="false">B7-(J7*COS(E7*PI()/180))*SIN((F7-13)*PI()/180)</f>
        <v>#DIV/0!</v>
      </c>
      <c r="M7" s="134" t="e">
        <f aca="false">C7-(J7*COS(E7*PI()/180))*COS((F7-13)*PI()/180)</f>
        <v>#DIV/0!</v>
      </c>
      <c r="N7" s="134" t="e">
        <f aca="false">D7+G7*COS(E7*PI()/180)*SIN(I7*PI()/180)/SIN((E7+I7)*PI()/180)</f>
        <v>#DIV/0!</v>
      </c>
    </row>
    <row r="8" customFormat="false" ht="12.75" hidden="false" customHeight="true" outlineLevel="0" collapsed="false">
      <c r="J8" s="134" t="e">
        <f aca="false">G8*COS(I8*PI()/180)/SIN((E8+I8)*PI()/180)</f>
        <v>#DIV/0!</v>
      </c>
      <c r="K8" s="134" t="n">
        <f aca="false">H8</f>
        <v>0</v>
      </c>
      <c r="L8" s="134" t="e">
        <f aca="false">B8-(J8*COS(E8*PI()/180))*SIN((F8-13)*PI()/180)</f>
        <v>#DIV/0!</v>
      </c>
      <c r="M8" s="134" t="e">
        <f aca="false">C8-(J8*COS(E8*PI()/180))*COS((F8-13)*PI()/180)</f>
        <v>#DIV/0!</v>
      </c>
      <c r="N8" s="134" t="e">
        <f aca="false">D8+G8*COS(E8*PI()/180)*SIN(I8*PI()/180)/SIN((E8+I8)*PI()/180)</f>
        <v>#DIV/0!</v>
      </c>
    </row>
    <row r="9" customFormat="false" ht="12.75" hidden="false" customHeight="true" outlineLevel="0" collapsed="false">
      <c r="J9" s="134" t="e">
        <f aca="false">G9*COS(I9*PI()/180)/SIN((E9+I9)*PI()/180)</f>
        <v>#DIV/0!</v>
      </c>
      <c r="K9" s="134" t="n">
        <f aca="false">H9</f>
        <v>0</v>
      </c>
      <c r="L9" s="134" t="e">
        <f aca="false">B9-(J9*COS(E9*PI()/180))*SIN((F9-13)*PI()/180)</f>
        <v>#DIV/0!</v>
      </c>
      <c r="M9" s="134" t="e">
        <f aca="false">C9-(J9*COS(E9*PI()/180))*COS((F9-13)*PI()/180)</f>
        <v>#DIV/0!</v>
      </c>
      <c r="N9" s="134" t="e">
        <f aca="false">D9+G9*COS(E9*PI()/180)*SIN(I9*PI()/180)/SIN((E9+I9)*PI()/180)</f>
        <v>#DIV/0!</v>
      </c>
    </row>
    <row r="10" customFormat="false" ht="12.75" hidden="false" customHeight="true" outlineLevel="0" collapsed="false">
      <c r="J10" s="134" t="e">
        <f aca="false">G10*COS(I10*PI()/180)/SIN((E10+I10)*PI()/180)</f>
        <v>#DIV/0!</v>
      </c>
      <c r="K10" s="134" t="n">
        <f aca="false">H10</f>
        <v>0</v>
      </c>
      <c r="L10" s="134" t="e">
        <f aca="false">B10-(J10*COS(E10*PI()/180))*SIN((F10-13)*PI()/180)</f>
        <v>#DIV/0!</v>
      </c>
      <c r="M10" s="134" t="e">
        <f aca="false">C10-(J10*COS(E10*PI()/180))*COS((F10-13)*PI()/180)</f>
        <v>#DIV/0!</v>
      </c>
      <c r="N10" s="134" t="e">
        <f aca="false">D10+G10*COS(E10*PI()/180)*SIN(I10*PI()/180)/SIN((E10+I10)*PI()/180)</f>
        <v>#DIV/0!</v>
      </c>
    </row>
    <row r="11" customFormat="false" ht="12.75" hidden="false" customHeight="true" outlineLevel="0" collapsed="false">
      <c r="J11" s="134" t="e">
        <f aca="false">G11*COS(I11*PI()/180)/SIN((E11+I11)*PI()/180)</f>
        <v>#DIV/0!</v>
      </c>
      <c r="K11" s="134" t="n">
        <f aca="false">H11</f>
        <v>0</v>
      </c>
      <c r="L11" s="134" t="e">
        <f aca="false">B11-(J11*COS(E11*PI()/180))*SIN((F11-13)*PI()/180)</f>
        <v>#DIV/0!</v>
      </c>
      <c r="M11" s="134" t="e">
        <f aca="false">C11-(J11*COS(E11*PI()/180))*COS((F11-13)*PI()/180)</f>
        <v>#DIV/0!</v>
      </c>
      <c r="N11" s="134" t="e">
        <f aca="false">D11+G11*COS(E11*PI()/180)*SIN(I11*PI()/180)/SIN((E11+I11)*PI()/180)</f>
        <v>#DIV/0!</v>
      </c>
    </row>
    <row r="12" customFormat="false" ht="12.75" hidden="false" customHeight="true" outlineLevel="0" collapsed="false">
      <c r="J12" s="134" t="e">
        <f aca="false">G12*COS(I12*PI()/180)/SIN((E12+I12)*PI()/180)</f>
        <v>#DIV/0!</v>
      </c>
      <c r="K12" s="134" t="n">
        <f aca="false">H12</f>
        <v>0</v>
      </c>
      <c r="L12" s="134" t="e">
        <f aca="false">B12-(J12*COS(E12*PI()/180))*SIN((F12-13)*PI()/180)</f>
        <v>#DIV/0!</v>
      </c>
      <c r="M12" s="134" t="e">
        <f aca="false">C12-(J12*COS(E12*PI()/180))*COS((F12-13)*PI()/180)</f>
        <v>#DIV/0!</v>
      </c>
      <c r="N12" s="134" t="e">
        <f aca="false">D12+G12*COS(E12*PI()/180)*SIN(I12*PI()/180)/SIN((E12+I12)*PI()/180)</f>
        <v>#DIV/0!</v>
      </c>
    </row>
    <row r="13" customFormat="false" ht="12.75" hidden="false" customHeight="true" outlineLevel="0" collapsed="false">
      <c r="J13" s="134" t="e">
        <f aca="false">G13*COS(I13*PI()/180)/SIN((E13+I13)*PI()/180)</f>
        <v>#DIV/0!</v>
      </c>
      <c r="K13" s="134" t="n">
        <f aca="false">H13</f>
        <v>0</v>
      </c>
      <c r="L13" s="134" t="e">
        <f aca="false">B13-(J13*COS(E13*PI()/180))*SIN((F13-13)*PI()/180)</f>
        <v>#DIV/0!</v>
      </c>
      <c r="M13" s="134" t="e">
        <f aca="false">C13-(J13*COS(E13*PI()/180))*COS((F13-13)*PI()/180)</f>
        <v>#DIV/0!</v>
      </c>
      <c r="N13" s="134" t="e">
        <f aca="false">D13+G13*COS(E13*PI()/180)*SIN(I13*PI()/180)/SIN((E13+I13)*PI()/180)</f>
        <v>#DIV/0!</v>
      </c>
    </row>
    <row r="14" customFormat="false" ht="12.75" hidden="false" customHeight="true" outlineLevel="0" collapsed="false">
      <c r="J14" s="134" t="e">
        <f aca="false">G14*COS(I14*PI()/180)/SIN((E14+I14)*PI()/180)</f>
        <v>#DIV/0!</v>
      </c>
      <c r="K14" s="134" t="n">
        <f aca="false">H14</f>
        <v>0</v>
      </c>
      <c r="L14" s="134" t="e">
        <f aca="false">B14-(J14*COS(E14*PI()/180))*SIN((F14-13)*PI()/180)</f>
        <v>#DIV/0!</v>
      </c>
      <c r="M14" s="134" t="e">
        <f aca="false">C14-(J14*COS(E14*PI()/180))*COS((F14-13)*PI()/180)</f>
        <v>#DIV/0!</v>
      </c>
      <c r="N14" s="134" t="e">
        <f aca="false">D14+G14*COS(E14*PI()/180)*SIN(I14*PI()/180)/SIN((E14+I14)*PI()/180)</f>
        <v>#DIV/0!</v>
      </c>
    </row>
    <row r="15" customFormat="false" ht="12.75" hidden="false" customHeight="true" outlineLevel="0" collapsed="false">
      <c r="J15" s="134" t="e">
        <f aca="false">G15*COS(I15*PI()/180)/SIN((E15+I15)*PI()/180)</f>
        <v>#DIV/0!</v>
      </c>
      <c r="K15" s="134" t="n">
        <f aca="false">H15</f>
        <v>0</v>
      </c>
      <c r="L15" s="134" t="e">
        <f aca="false">B15-(J15*COS(E15*PI()/180))*SIN((F15-13)*PI()/180)</f>
        <v>#DIV/0!</v>
      </c>
      <c r="M15" s="134" t="e">
        <f aca="false">C15-(J15*COS(E15*PI()/180))*COS((F15-13)*PI()/180)</f>
        <v>#DIV/0!</v>
      </c>
      <c r="N15" s="134" t="e">
        <f aca="false">D15+G15*COS(E15*PI()/180)*SIN(I15*PI()/180)/SIN((E15+I15)*PI()/180)</f>
        <v>#DIV/0!</v>
      </c>
    </row>
    <row r="16" customFormat="false" ht="12.75" hidden="false" customHeight="true" outlineLevel="0" collapsed="false">
      <c r="J16" s="134" t="e">
        <f aca="false">G16*COS(I16*PI()/180)/SIN((E16+I16)*PI()/180)</f>
        <v>#DIV/0!</v>
      </c>
      <c r="K16" s="134" t="n">
        <f aca="false">H16</f>
        <v>0</v>
      </c>
      <c r="L16" s="134" t="e">
        <f aca="false">B16-(J16*COS(E16*PI()/180))*SIN((F16-13)*PI()/180)</f>
        <v>#DIV/0!</v>
      </c>
      <c r="M16" s="134" t="e">
        <f aca="false">C16-(J16*COS(E16*PI()/180))*COS((F16-13)*PI()/180)</f>
        <v>#DIV/0!</v>
      </c>
      <c r="N16" s="134" t="e">
        <f aca="false">D16+G16*COS(E16*PI()/180)*SIN(I16*PI()/180)/SIN((E16+I16)*PI()/180)</f>
        <v>#DIV/0!</v>
      </c>
    </row>
    <row r="17" customFormat="false" ht="12.75" hidden="false" customHeight="true" outlineLevel="0" collapsed="false">
      <c r="J17" s="134" t="e">
        <f aca="false">G17*COS(I17*PI()/180)/SIN((E17+I17)*PI()/180)</f>
        <v>#DIV/0!</v>
      </c>
      <c r="K17" s="134" t="n">
        <f aca="false">H17</f>
        <v>0</v>
      </c>
      <c r="L17" s="134" t="e">
        <f aca="false">B17-(J17*COS(E17*PI()/180))*SIN((F17-13)*PI()/180)</f>
        <v>#DIV/0!</v>
      </c>
      <c r="M17" s="134" t="e">
        <f aca="false">C17-(J17*COS(E17*PI()/180))*COS((F17-13)*PI()/180)</f>
        <v>#DIV/0!</v>
      </c>
      <c r="N17" s="134" t="e">
        <f aca="false">D17+G17*COS(E17*PI()/180)*SIN(I17*PI()/180)/SIN((E17+I17)*PI()/180)</f>
        <v>#DIV/0!</v>
      </c>
    </row>
    <row r="18" customFormat="false" ht="12.75" hidden="false" customHeight="true" outlineLevel="0" collapsed="false">
      <c r="J18" s="134" t="e">
        <f aca="false">G18*COS(I18*PI()/180)/SIN((E18+I18)*PI()/180)</f>
        <v>#DIV/0!</v>
      </c>
      <c r="K18" s="134" t="n">
        <f aca="false">H18</f>
        <v>0</v>
      </c>
      <c r="L18" s="134" t="e">
        <f aca="false">B18-(J18*COS(E18*PI()/180))*SIN((F18-13)*PI()/180)</f>
        <v>#DIV/0!</v>
      </c>
      <c r="M18" s="134" t="e">
        <f aca="false">C18-(J18*COS(E18*PI()/180))*COS((F18-13)*PI()/180)</f>
        <v>#DIV/0!</v>
      </c>
      <c r="N18" s="134" t="e">
        <f aca="false">D18+G18*COS(E18*PI()/180)*SIN(I18*PI()/180)/SIN((E18+I18)*PI()/180)</f>
        <v>#DIV/0!</v>
      </c>
    </row>
    <row r="19" customFormat="false" ht="12.75" hidden="false" customHeight="true" outlineLevel="0" collapsed="false">
      <c r="J19" s="134" t="e">
        <f aca="false">G19*COS(I19*PI()/180)/SIN((E19+I19)*PI()/180)</f>
        <v>#DIV/0!</v>
      </c>
      <c r="K19" s="134" t="n">
        <f aca="false">H19</f>
        <v>0</v>
      </c>
      <c r="L19" s="134" t="e">
        <f aca="false">B19-(J19*COS(E19*PI()/180))*SIN((F19-13)*PI()/180)</f>
        <v>#DIV/0!</v>
      </c>
      <c r="M19" s="134" t="e">
        <f aca="false">C19-(J19*COS(E19*PI()/180))*COS((F19-13)*PI()/180)</f>
        <v>#DIV/0!</v>
      </c>
      <c r="N19" s="134" t="e">
        <f aca="false">D19+G19*COS(E19*PI()/180)*SIN(I19*PI()/180)/SIN((E19+I19)*PI()/180)</f>
        <v>#DIV/0!</v>
      </c>
    </row>
    <row r="20" customFormat="false" ht="12.75" hidden="false" customHeight="true" outlineLevel="0" collapsed="false">
      <c r="J20" s="134" t="e">
        <f aca="false">G20*COS(I20*PI()/180)/SIN((E20+I20)*PI()/180)</f>
        <v>#DIV/0!</v>
      </c>
      <c r="K20" s="134" t="n">
        <f aca="false">H20</f>
        <v>0</v>
      </c>
      <c r="L20" s="134" t="e">
        <f aca="false">B20-(J20*COS(E20*PI()/180))*SIN((F20-13)*PI()/180)</f>
        <v>#DIV/0!</v>
      </c>
      <c r="M20" s="134" t="e">
        <f aca="false">C20-(J20*COS(E20*PI()/180))*COS((F20-13)*PI()/180)</f>
        <v>#DIV/0!</v>
      </c>
      <c r="N20" s="134" t="e">
        <f aca="false">D20+G20*COS(E20*PI()/180)*SIN(I20*PI()/180)/SIN((E20+I20)*PI()/180)</f>
        <v>#DIV/0!</v>
      </c>
    </row>
    <row r="21" customFormat="false" ht="12.75" hidden="false" customHeight="true" outlineLevel="0" collapsed="false">
      <c r="J21" s="134" t="e">
        <f aca="false">G21*COS(I21*PI()/180)/SIN((E21+I21)*PI()/180)</f>
        <v>#DIV/0!</v>
      </c>
      <c r="K21" s="134" t="n">
        <f aca="false">H21</f>
        <v>0</v>
      </c>
      <c r="L21" s="134" t="e">
        <f aca="false">B21-(J21*COS(E21*PI()/180))*SIN((F21-13)*PI()/180)</f>
        <v>#DIV/0!</v>
      </c>
      <c r="M21" s="134" t="e">
        <f aca="false">C21-(J21*COS(E21*PI()/180))*COS((F21-13)*PI()/180)</f>
        <v>#DIV/0!</v>
      </c>
      <c r="N21" s="134" t="e">
        <f aca="false">D21+G21*COS(E21*PI()/180)*SIN(I21*PI()/180)/SIN((E21+I21)*PI()/180)</f>
        <v>#DIV/0!</v>
      </c>
    </row>
    <row r="22" customFormat="false" ht="12.75" hidden="false" customHeight="true" outlineLevel="0" collapsed="false">
      <c r="J22" s="134" t="e">
        <f aca="false">G22*COS(I22*PI()/180)/SIN((E22+I22)*PI()/180)</f>
        <v>#DIV/0!</v>
      </c>
      <c r="K22" s="134" t="n">
        <f aca="false">H22</f>
        <v>0</v>
      </c>
      <c r="L22" s="134" t="e">
        <f aca="false">B22-(J22*COS(E22*PI()/180))*SIN((F22-13)*PI()/180)</f>
        <v>#DIV/0!</v>
      </c>
      <c r="M22" s="134" t="e">
        <f aca="false">C22-(J22*COS(E22*PI()/180))*COS((F22-13)*PI()/180)</f>
        <v>#DIV/0!</v>
      </c>
      <c r="N22" s="134" t="e">
        <f aca="false">D22+G22*COS(E22*PI()/180)*SIN(I22*PI()/180)/SIN((E22+I22)*PI()/180)</f>
        <v>#DIV/0!</v>
      </c>
    </row>
    <row r="23" customFormat="false" ht="12.75" hidden="false" customHeight="true" outlineLevel="0" collapsed="false">
      <c r="J23" s="134" t="e">
        <f aca="false">G23*COS(I23*PI()/180)/SIN((E23+I23)*PI()/180)</f>
        <v>#DIV/0!</v>
      </c>
      <c r="K23" s="134" t="n">
        <f aca="false">H23</f>
        <v>0</v>
      </c>
      <c r="L23" s="134" t="e">
        <f aca="false">B23-(J23*COS(E23*PI()/180))*SIN((F23-13)*PI()/180)</f>
        <v>#DIV/0!</v>
      </c>
      <c r="M23" s="134" t="e">
        <f aca="false">C23-(J23*COS(E23*PI()/180))*COS((F23-13)*PI()/180)</f>
        <v>#DIV/0!</v>
      </c>
      <c r="N23" s="134" t="e">
        <f aca="false">D23+G23*COS(E23*PI()/180)*SIN(I23*PI()/180)/SIN((E23+I23)*PI()/180)</f>
        <v>#DIV/0!</v>
      </c>
    </row>
    <row r="24" customFormat="false" ht="12.75" hidden="false" customHeight="true" outlineLevel="0" collapsed="false">
      <c r="J24" s="134" t="e">
        <f aca="false">G24*COS(I24*PI()/180)/SIN((E24+I24)*PI()/180)</f>
        <v>#DIV/0!</v>
      </c>
      <c r="K24" s="134" t="n">
        <f aca="false">H24</f>
        <v>0</v>
      </c>
      <c r="L24" s="134" t="e">
        <f aca="false">B24-(J24*COS(E24*PI()/180))*SIN((F24-13)*PI()/180)</f>
        <v>#DIV/0!</v>
      </c>
      <c r="M24" s="134" t="e">
        <f aca="false">C24-(J24*COS(E24*PI()/180))*COS((F24-13)*PI()/180)</f>
        <v>#DIV/0!</v>
      </c>
      <c r="N24" s="134" t="e">
        <f aca="false">D24+G24*COS(E24*PI()/180)*SIN(I24*PI()/180)/SIN((E24+I24)*PI()/180)</f>
        <v>#DIV/0!</v>
      </c>
    </row>
    <row r="25" customFormat="false" ht="12.75" hidden="false" customHeight="true" outlineLevel="0" collapsed="false">
      <c r="J25" s="134" t="e">
        <f aca="false">G25*COS(I25*PI()/180)/SIN((E25+I25)*PI()/180)</f>
        <v>#DIV/0!</v>
      </c>
      <c r="K25" s="134" t="n">
        <f aca="false">H25</f>
        <v>0</v>
      </c>
      <c r="L25" s="134" t="e">
        <f aca="false">B25-(J25*COS(E25*PI()/180))*SIN((F25-13)*PI()/180)</f>
        <v>#DIV/0!</v>
      </c>
      <c r="M25" s="134" t="e">
        <f aca="false">C25-(J25*COS(E25*PI()/180))*COS((F25-13)*PI()/180)</f>
        <v>#DIV/0!</v>
      </c>
      <c r="N25" s="134" t="e">
        <f aca="false">D25+G25*COS(E25*PI()/180)*SIN(I25*PI()/180)/SIN((E25+I25)*PI()/180)</f>
        <v>#DIV/0!</v>
      </c>
    </row>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12.44"/>
    <col collapsed="false" customWidth="true" hidden="false" outlineLevel="0" max="8" min="8" style="1" width="30.43"/>
    <col collapsed="false" customWidth="true" hidden="false" outlineLevel="0" max="9" min="9" style="1" width="11.44"/>
    <col collapsed="false" customWidth="true" hidden="false" outlineLevel="0" max="10" min="10" style="1" width="30.43"/>
    <col collapsed="false" customWidth="true" hidden="false" outlineLevel="0" max="26" min="11" style="1" width="11.22"/>
    <col collapsed="false" customWidth="true" hidden="false" outlineLevel="0" max="1025" min="27" style="1" width="12.67"/>
  </cols>
  <sheetData>
    <row r="1" customFormat="false" ht="30" hidden="false" customHeight="true" outlineLevel="0" collapsed="false">
      <c r="A1" s="237" t="s">
        <v>307</v>
      </c>
      <c r="B1" s="237"/>
      <c r="C1" s="237"/>
      <c r="D1" s="237"/>
      <c r="E1" s="237"/>
      <c r="F1" s="237"/>
      <c r="G1" s="237"/>
      <c r="H1" s="237"/>
      <c r="I1" s="237"/>
      <c r="J1" s="237"/>
      <c r="K1" s="238"/>
      <c r="L1" s="238"/>
      <c r="M1" s="238"/>
      <c r="N1" s="238"/>
      <c r="O1" s="238"/>
      <c r="P1" s="238"/>
      <c r="Q1" s="238"/>
      <c r="R1" s="238"/>
      <c r="S1" s="238"/>
      <c r="T1" s="238"/>
      <c r="U1" s="238"/>
      <c r="V1" s="238"/>
      <c r="W1" s="238"/>
      <c r="X1" s="238"/>
      <c r="Y1" s="238"/>
      <c r="Z1" s="238"/>
    </row>
    <row r="2" customFormat="false" ht="30" hidden="false" customHeight="true" outlineLevel="0" collapsed="false">
      <c r="A2" s="239" t="s">
        <v>308</v>
      </c>
      <c r="B2" s="239"/>
      <c r="C2" s="239"/>
      <c r="D2" s="239"/>
      <c r="E2" s="240" t="s">
        <v>309</v>
      </c>
      <c r="F2" s="240"/>
      <c r="G2" s="240" t="s">
        <v>310</v>
      </c>
      <c r="H2" s="240"/>
      <c r="I2" s="240" t="s">
        <v>311</v>
      </c>
      <c r="J2" s="240"/>
      <c r="K2" s="238"/>
      <c r="L2" s="238"/>
      <c r="M2" s="238"/>
      <c r="N2" s="238"/>
      <c r="O2" s="238"/>
      <c r="P2" s="238"/>
      <c r="Q2" s="238"/>
      <c r="R2" s="238"/>
      <c r="S2" s="238"/>
      <c r="T2" s="238"/>
      <c r="U2" s="238"/>
      <c r="V2" s="238"/>
      <c r="W2" s="238"/>
      <c r="X2" s="238"/>
      <c r="Y2" s="238"/>
      <c r="Z2" s="238"/>
    </row>
    <row r="3" customFormat="false" ht="65.25" hidden="false" customHeight="true" outlineLevel="0" collapsed="false">
      <c r="A3" s="241" t="s">
        <v>312</v>
      </c>
      <c r="B3" s="242" t="s">
        <v>313</v>
      </c>
      <c r="C3" s="243" t="s">
        <v>314</v>
      </c>
      <c r="D3" s="243" t="s">
        <v>315</v>
      </c>
      <c r="E3" s="243" t="s">
        <v>316</v>
      </c>
      <c r="F3" s="244" t="s">
        <v>317</v>
      </c>
      <c r="G3" s="245" t="s">
        <v>318</v>
      </c>
      <c r="H3" s="243" t="s">
        <v>319</v>
      </c>
      <c r="I3" s="243" t="s">
        <v>320</v>
      </c>
      <c r="J3" s="246" t="s">
        <v>321</v>
      </c>
      <c r="K3" s="247"/>
      <c r="L3" s="247"/>
      <c r="M3" s="247"/>
      <c r="N3" s="247"/>
      <c r="O3" s="247"/>
      <c r="P3" s="247"/>
      <c r="Q3" s="247"/>
      <c r="R3" s="247"/>
      <c r="S3" s="247"/>
      <c r="T3" s="247"/>
      <c r="U3" s="247"/>
      <c r="V3" s="247"/>
      <c r="W3" s="247"/>
      <c r="X3" s="247"/>
      <c r="Y3" s="247"/>
      <c r="Z3" s="247"/>
    </row>
    <row r="4" customFormat="false" ht="24" hidden="false" customHeight="true" outlineLevel="0" collapsed="false">
      <c r="A4" s="248"/>
      <c r="B4" s="248"/>
      <c r="C4" s="248"/>
      <c r="D4" s="248"/>
      <c r="E4" s="248"/>
      <c r="F4" s="248"/>
      <c r="G4" s="248"/>
      <c r="H4" s="248"/>
      <c r="I4" s="248"/>
      <c r="J4" s="248"/>
      <c r="K4" s="238"/>
      <c r="L4" s="238"/>
      <c r="M4" s="238"/>
      <c r="N4" s="238"/>
      <c r="O4" s="238"/>
      <c r="P4" s="238"/>
      <c r="Q4" s="238"/>
      <c r="R4" s="238"/>
      <c r="S4" s="238"/>
      <c r="T4" s="238"/>
      <c r="U4" s="238"/>
      <c r="V4" s="238"/>
      <c r="W4" s="238"/>
      <c r="X4" s="238"/>
      <c r="Y4" s="238"/>
      <c r="Z4" s="238"/>
    </row>
    <row r="5" customFormat="false" ht="24" hidden="false" customHeight="true" outlineLevel="0" collapsed="false">
      <c r="A5" s="249"/>
      <c r="B5" s="249"/>
      <c r="C5" s="249"/>
      <c r="D5" s="249"/>
      <c r="E5" s="249"/>
      <c r="F5" s="249"/>
      <c r="G5" s="249"/>
      <c r="H5" s="249"/>
      <c r="I5" s="249"/>
      <c r="J5" s="249"/>
      <c r="K5" s="238"/>
      <c r="L5" s="238"/>
      <c r="M5" s="238"/>
      <c r="N5" s="238"/>
      <c r="O5" s="238"/>
      <c r="P5" s="238"/>
      <c r="Q5" s="238"/>
      <c r="R5" s="238"/>
      <c r="S5" s="238"/>
      <c r="T5" s="238"/>
      <c r="U5" s="238"/>
      <c r="V5" s="238"/>
      <c r="W5" s="238"/>
      <c r="X5" s="238"/>
      <c r="Y5" s="238"/>
      <c r="Z5" s="238"/>
    </row>
    <row r="6" customFormat="false" ht="24" hidden="false" customHeight="true" outlineLevel="0" collapsed="false">
      <c r="A6" s="249"/>
      <c r="B6" s="249"/>
      <c r="C6" s="249"/>
      <c r="D6" s="249"/>
      <c r="E6" s="249"/>
      <c r="F6" s="249"/>
      <c r="G6" s="249"/>
      <c r="H6" s="249"/>
      <c r="I6" s="249"/>
      <c r="J6" s="249"/>
      <c r="K6" s="238"/>
      <c r="L6" s="238"/>
      <c r="M6" s="238"/>
      <c r="N6" s="238"/>
      <c r="O6" s="238"/>
      <c r="P6" s="238"/>
      <c r="Q6" s="238"/>
      <c r="R6" s="238"/>
      <c r="S6" s="238"/>
      <c r="T6" s="238"/>
      <c r="U6" s="238"/>
      <c r="V6" s="238"/>
      <c r="W6" s="238"/>
      <c r="X6" s="238"/>
      <c r="Y6" s="238"/>
      <c r="Z6" s="238"/>
    </row>
    <row r="7" customFormat="false" ht="24" hidden="false" customHeight="true" outlineLevel="0" collapsed="false">
      <c r="A7" s="249"/>
      <c r="B7" s="249"/>
      <c r="C7" s="249"/>
      <c r="D7" s="249"/>
      <c r="E7" s="249"/>
      <c r="F7" s="249"/>
      <c r="G7" s="249"/>
      <c r="H7" s="249"/>
      <c r="I7" s="249"/>
      <c r="J7" s="249"/>
      <c r="K7" s="238"/>
      <c r="L7" s="238"/>
      <c r="M7" s="238"/>
      <c r="N7" s="238"/>
      <c r="O7" s="238"/>
      <c r="P7" s="238"/>
      <c r="Q7" s="238"/>
      <c r="R7" s="238"/>
      <c r="S7" s="238"/>
      <c r="T7" s="238"/>
      <c r="U7" s="238"/>
      <c r="V7" s="238"/>
      <c r="W7" s="238"/>
      <c r="X7" s="238"/>
      <c r="Y7" s="238"/>
      <c r="Z7" s="238"/>
    </row>
    <row r="8" customFormat="false" ht="24" hidden="false" customHeight="true" outlineLevel="0" collapsed="false">
      <c r="A8" s="249"/>
      <c r="B8" s="249"/>
      <c r="C8" s="249"/>
      <c r="D8" s="249"/>
      <c r="E8" s="249"/>
      <c r="F8" s="249"/>
      <c r="G8" s="249"/>
      <c r="H8" s="249"/>
      <c r="I8" s="249"/>
      <c r="J8" s="249"/>
      <c r="K8" s="238"/>
      <c r="L8" s="238"/>
      <c r="M8" s="238"/>
      <c r="N8" s="238"/>
      <c r="O8" s="238"/>
      <c r="P8" s="238"/>
      <c r="Q8" s="238"/>
      <c r="R8" s="238"/>
      <c r="S8" s="238"/>
      <c r="T8" s="238"/>
      <c r="U8" s="238"/>
      <c r="V8" s="238"/>
      <c r="W8" s="238"/>
      <c r="X8" s="238"/>
      <c r="Y8" s="238"/>
      <c r="Z8" s="238"/>
    </row>
    <row r="9" customFormat="false" ht="24" hidden="false" customHeight="true" outlineLevel="0" collapsed="false">
      <c r="A9" s="249"/>
      <c r="B9" s="249"/>
      <c r="C9" s="249"/>
      <c r="D9" s="249"/>
      <c r="E9" s="249"/>
      <c r="F9" s="249"/>
      <c r="G9" s="249"/>
      <c r="H9" s="249"/>
      <c r="I9" s="249"/>
      <c r="J9" s="249"/>
      <c r="K9" s="238"/>
      <c r="L9" s="238"/>
      <c r="M9" s="238"/>
      <c r="N9" s="238"/>
      <c r="O9" s="238"/>
      <c r="P9" s="238"/>
      <c r="Q9" s="238"/>
      <c r="R9" s="238"/>
      <c r="S9" s="238"/>
      <c r="T9" s="238"/>
      <c r="U9" s="238"/>
      <c r="V9" s="238"/>
      <c r="W9" s="238"/>
      <c r="X9" s="238"/>
      <c r="Y9" s="238"/>
      <c r="Z9" s="238"/>
    </row>
    <row r="10" customFormat="false" ht="24" hidden="false" customHeight="true" outlineLevel="0" collapsed="false">
      <c r="A10" s="249"/>
      <c r="B10" s="249"/>
      <c r="C10" s="249"/>
      <c r="D10" s="249"/>
      <c r="E10" s="249"/>
      <c r="F10" s="249"/>
      <c r="G10" s="249"/>
      <c r="H10" s="249"/>
      <c r="I10" s="249"/>
      <c r="J10" s="249"/>
      <c r="K10" s="238"/>
      <c r="L10" s="238"/>
      <c r="M10" s="238"/>
      <c r="N10" s="238"/>
      <c r="O10" s="238"/>
      <c r="P10" s="238"/>
      <c r="Q10" s="238"/>
      <c r="R10" s="238"/>
      <c r="S10" s="238"/>
      <c r="T10" s="238"/>
      <c r="U10" s="238"/>
      <c r="V10" s="238"/>
      <c r="W10" s="238"/>
      <c r="X10" s="238"/>
      <c r="Y10" s="238"/>
      <c r="Z10" s="238"/>
    </row>
    <row r="11" customFormat="false" ht="24" hidden="false" customHeight="true" outlineLevel="0" collapsed="false">
      <c r="A11" s="249"/>
      <c r="B11" s="249"/>
      <c r="C11" s="249"/>
      <c r="D11" s="249"/>
      <c r="E11" s="249"/>
      <c r="F11" s="249"/>
      <c r="G11" s="249"/>
      <c r="H11" s="249"/>
      <c r="I11" s="249"/>
      <c r="J11" s="249"/>
      <c r="K11" s="238"/>
      <c r="L11" s="238"/>
      <c r="M11" s="238"/>
      <c r="N11" s="238"/>
      <c r="O11" s="238"/>
      <c r="P11" s="238"/>
      <c r="Q11" s="238"/>
      <c r="R11" s="238"/>
      <c r="S11" s="238"/>
      <c r="T11" s="238"/>
      <c r="U11" s="238"/>
      <c r="V11" s="238"/>
      <c r="W11" s="238"/>
      <c r="X11" s="238"/>
      <c r="Y11" s="238"/>
      <c r="Z11" s="238"/>
    </row>
    <row r="12" customFormat="false" ht="24" hidden="false" customHeight="true" outlineLevel="0" collapsed="false">
      <c r="A12" s="249"/>
      <c r="B12" s="249"/>
      <c r="C12" s="249"/>
      <c r="D12" s="249"/>
      <c r="E12" s="249"/>
      <c r="F12" s="249"/>
      <c r="G12" s="249"/>
      <c r="H12" s="249"/>
      <c r="I12" s="249"/>
      <c r="J12" s="249"/>
      <c r="K12" s="238"/>
      <c r="L12" s="238"/>
      <c r="M12" s="238"/>
      <c r="N12" s="238"/>
      <c r="O12" s="238"/>
      <c r="P12" s="238"/>
      <c r="Q12" s="238"/>
      <c r="R12" s="238"/>
      <c r="S12" s="238"/>
      <c r="T12" s="238"/>
      <c r="U12" s="238"/>
      <c r="V12" s="238"/>
      <c r="W12" s="238"/>
      <c r="X12" s="238"/>
      <c r="Y12" s="238"/>
      <c r="Z12" s="238"/>
    </row>
    <row r="13" customFormat="false" ht="24" hidden="false" customHeight="true" outlineLevel="0" collapsed="false">
      <c r="A13" s="249"/>
      <c r="B13" s="249"/>
      <c r="C13" s="249"/>
      <c r="D13" s="249"/>
      <c r="E13" s="249"/>
      <c r="F13" s="249"/>
      <c r="G13" s="249"/>
      <c r="H13" s="249"/>
      <c r="I13" s="249"/>
      <c r="J13" s="249"/>
      <c r="K13" s="238"/>
      <c r="L13" s="238"/>
      <c r="M13" s="238"/>
      <c r="N13" s="238"/>
      <c r="O13" s="238"/>
      <c r="P13" s="238"/>
      <c r="Q13" s="238"/>
      <c r="R13" s="238"/>
      <c r="S13" s="238"/>
      <c r="T13" s="238"/>
      <c r="U13" s="238"/>
      <c r="V13" s="238"/>
      <c r="W13" s="238"/>
      <c r="X13" s="238"/>
      <c r="Y13" s="238"/>
      <c r="Z13" s="238"/>
    </row>
    <row r="14" customFormat="false" ht="24" hidden="false" customHeight="true" outlineLevel="0" collapsed="false">
      <c r="A14" s="249"/>
      <c r="B14" s="249"/>
      <c r="C14" s="249"/>
      <c r="D14" s="249"/>
      <c r="E14" s="249"/>
      <c r="F14" s="249"/>
      <c r="G14" s="249"/>
      <c r="H14" s="249"/>
      <c r="I14" s="249"/>
      <c r="J14" s="249"/>
      <c r="K14" s="238"/>
      <c r="L14" s="238"/>
      <c r="M14" s="238"/>
      <c r="N14" s="238"/>
      <c r="O14" s="238"/>
      <c r="P14" s="238"/>
      <c r="Q14" s="238"/>
      <c r="R14" s="238"/>
      <c r="S14" s="238"/>
      <c r="T14" s="238"/>
      <c r="U14" s="238"/>
      <c r="V14" s="238"/>
      <c r="W14" s="238"/>
      <c r="X14" s="238"/>
      <c r="Y14" s="238"/>
      <c r="Z14" s="238"/>
    </row>
    <row r="15" customFormat="false" ht="24" hidden="false" customHeight="true" outlineLevel="0" collapsed="false">
      <c r="A15" s="249"/>
      <c r="B15" s="249"/>
      <c r="C15" s="249"/>
      <c r="D15" s="249"/>
      <c r="E15" s="249"/>
      <c r="F15" s="249"/>
      <c r="G15" s="249"/>
      <c r="H15" s="249"/>
      <c r="I15" s="249"/>
      <c r="J15" s="249"/>
      <c r="K15" s="238"/>
      <c r="L15" s="238"/>
      <c r="M15" s="238"/>
      <c r="N15" s="238"/>
      <c r="O15" s="238"/>
      <c r="P15" s="238"/>
      <c r="Q15" s="238"/>
      <c r="R15" s="238"/>
      <c r="S15" s="238"/>
      <c r="T15" s="238"/>
      <c r="U15" s="238"/>
      <c r="V15" s="238"/>
      <c r="W15" s="238"/>
      <c r="X15" s="238"/>
      <c r="Y15" s="238"/>
      <c r="Z15" s="238"/>
    </row>
    <row r="16" customFormat="false" ht="24" hidden="false" customHeight="true" outlineLevel="0" collapsed="false">
      <c r="A16" s="249"/>
      <c r="B16" s="249"/>
      <c r="C16" s="249"/>
      <c r="D16" s="249"/>
      <c r="E16" s="249"/>
      <c r="F16" s="249"/>
      <c r="G16" s="249"/>
      <c r="H16" s="249"/>
      <c r="I16" s="249"/>
      <c r="J16" s="249"/>
      <c r="K16" s="238"/>
      <c r="L16" s="238"/>
      <c r="M16" s="238"/>
      <c r="N16" s="238"/>
      <c r="O16" s="238"/>
      <c r="P16" s="238"/>
      <c r="Q16" s="238"/>
      <c r="R16" s="238"/>
      <c r="S16" s="238"/>
      <c r="T16" s="238"/>
      <c r="U16" s="238"/>
      <c r="V16" s="238"/>
      <c r="W16" s="238"/>
      <c r="X16" s="238"/>
      <c r="Y16" s="238"/>
      <c r="Z16" s="238"/>
    </row>
    <row r="17" customFormat="false" ht="24" hidden="false" customHeight="true" outlineLevel="0" collapsed="false">
      <c r="A17" s="249"/>
      <c r="B17" s="249"/>
      <c r="C17" s="249"/>
      <c r="D17" s="249"/>
      <c r="E17" s="249"/>
      <c r="F17" s="249"/>
      <c r="G17" s="249"/>
      <c r="H17" s="249"/>
      <c r="I17" s="249"/>
      <c r="J17" s="249"/>
      <c r="K17" s="238"/>
      <c r="L17" s="238"/>
      <c r="M17" s="238"/>
      <c r="N17" s="238"/>
      <c r="O17" s="238"/>
      <c r="P17" s="238"/>
      <c r="Q17" s="238"/>
      <c r="R17" s="238"/>
      <c r="S17" s="238"/>
      <c r="T17" s="238"/>
      <c r="U17" s="238"/>
      <c r="V17" s="238"/>
      <c r="W17" s="238"/>
      <c r="X17" s="238"/>
      <c r="Y17" s="238"/>
      <c r="Z17" s="238"/>
    </row>
    <row r="18" customFormat="false" ht="24" hidden="false" customHeight="true" outlineLevel="0" collapsed="false">
      <c r="A18" s="249"/>
      <c r="B18" s="249"/>
      <c r="C18" s="249"/>
      <c r="D18" s="249"/>
      <c r="E18" s="249"/>
      <c r="F18" s="249"/>
      <c r="G18" s="249"/>
      <c r="H18" s="249"/>
      <c r="I18" s="249"/>
      <c r="J18" s="249"/>
      <c r="K18" s="238"/>
      <c r="L18" s="238"/>
      <c r="M18" s="238"/>
      <c r="N18" s="238"/>
      <c r="O18" s="238"/>
      <c r="P18" s="238"/>
      <c r="Q18" s="238"/>
      <c r="R18" s="238"/>
      <c r="S18" s="238"/>
      <c r="T18" s="238"/>
      <c r="U18" s="238"/>
      <c r="V18" s="238"/>
      <c r="W18" s="238"/>
      <c r="X18" s="238"/>
      <c r="Y18" s="238"/>
      <c r="Z18" s="238"/>
    </row>
    <row r="19" customFormat="false" ht="24" hidden="false" customHeight="true" outlineLevel="0" collapsed="false">
      <c r="A19" s="249"/>
      <c r="B19" s="249"/>
      <c r="C19" s="249"/>
      <c r="D19" s="249"/>
      <c r="E19" s="249"/>
      <c r="F19" s="249"/>
      <c r="G19" s="249"/>
      <c r="H19" s="249"/>
      <c r="I19" s="249"/>
      <c r="J19" s="249"/>
      <c r="K19" s="238"/>
      <c r="L19" s="238"/>
      <c r="M19" s="238"/>
      <c r="N19" s="238"/>
      <c r="O19" s="238"/>
      <c r="P19" s="238"/>
      <c r="Q19" s="238"/>
      <c r="R19" s="238"/>
      <c r="S19" s="238"/>
      <c r="T19" s="238"/>
      <c r="U19" s="238"/>
      <c r="V19" s="238"/>
      <c r="W19" s="238"/>
      <c r="X19" s="238"/>
      <c r="Y19" s="238"/>
      <c r="Z19" s="238"/>
    </row>
    <row r="20" customFormat="false" ht="24" hidden="false" customHeight="true" outlineLevel="0" collapsed="false">
      <c r="A20" s="249"/>
      <c r="B20" s="249"/>
      <c r="C20" s="249"/>
      <c r="D20" s="249"/>
      <c r="E20" s="249"/>
      <c r="F20" s="249"/>
      <c r="G20" s="249"/>
      <c r="H20" s="249"/>
      <c r="I20" s="249"/>
      <c r="J20" s="249"/>
      <c r="K20" s="238"/>
      <c r="L20" s="238"/>
      <c r="M20" s="238"/>
      <c r="N20" s="238"/>
      <c r="O20" s="238"/>
      <c r="P20" s="238"/>
      <c r="Q20" s="238"/>
      <c r="R20" s="238"/>
      <c r="S20" s="238"/>
      <c r="T20" s="238"/>
      <c r="U20" s="238"/>
      <c r="V20" s="238"/>
      <c r="W20" s="238"/>
      <c r="X20" s="238"/>
      <c r="Y20" s="238"/>
      <c r="Z20" s="238"/>
    </row>
    <row r="21" customFormat="false" ht="24" hidden="false" customHeight="true" outlineLevel="0" collapsed="false">
      <c r="A21" s="249"/>
      <c r="B21" s="249"/>
      <c r="C21" s="249"/>
      <c r="D21" s="249"/>
      <c r="E21" s="249"/>
      <c r="F21" s="249"/>
      <c r="G21" s="249"/>
      <c r="H21" s="249"/>
      <c r="I21" s="249"/>
      <c r="J21" s="249"/>
      <c r="K21" s="238"/>
      <c r="L21" s="238"/>
      <c r="M21" s="238"/>
      <c r="N21" s="238"/>
      <c r="O21" s="238"/>
      <c r="P21" s="238"/>
      <c r="Q21" s="238"/>
      <c r="R21" s="238"/>
      <c r="S21" s="238"/>
      <c r="T21" s="238"/>
      <c r="U21" s="238"/>
      <c r="V21" s="238"/>
      <c r="W21" s="238"/>
      <c r="X21" s="238"/>
      <c r="Y21" s="238"/>
      <c r="Z21" s="238"/>
    </row>
    <row r="22" customFormat="false" ht="24" hidden="false" customHeight="true" outlineLevel="0" collapsed="false">
      <c r="A22" s="250"/>
      <c r="B22" s="250"/>
      <c r="C22" s="250"/>
      <c r="D22" s="250"/>
      <c r="E22" s="250"/>
      <c r="F22" s="250"/>
      <c r="G22" s="250"/>
      <c r="H22" s="250"/>
      <c r="I22" s="250"/>
      <c r="J22" s="250"/>
      <c r="K22" s="251"/>
      <c r="L22" s="251"/>
      <c r="M22" s="251"/>
      <c r="N22" s="251"/>
      <c r="O22" s="251"/>
      <c r="P22" s="251"/>
      <c r="Q22" s="251"/>
      <c r="R22" s="251"/>
      <c r="S22" s="251"/>
      <c r="T22" s="251"/>
      <c r="U22" s="251"/>
      <c r="V22" s="251"/>
      <c r="W22" s="251"/>
      <c r="X22" s="251"/>
      <c r="Y22" s="251"/>
      <c r="Z22" s="251"/>
    </row>
    <row r="23" customFormat="false" ht="24" hidden="false" customHeight="true" outlineLevel="0" collapsed="false"/>
    <row r="24" customFormat="false" ht="24" hidden="false" customHeight="true" outlineLevel="0" collapsed="false"/>
    <row r="25" customFormat="false" ht="24" hidden="false" customHeight="true" outlineLevel="0" collapsed="false"/>
    <row r="26" customFormat="false" ht="24" hidden="false" customHeight="true" outlineLevel="0" collapsed="false"/>
    <row r="27" customFormat="false" ht="24" hidden="false" customHeight="true" outlineLevel="0" collapsed="false"/>
    <row r="28" customFormat="false" ht="24" hidden="false" customHeight="true" outlineLevel="0" collapsed="false"/>
    <row r="29" customFormat="false" ht="24" hidden="false" customHeight="true" outlineLevel="0" collapsed="false"/>
    <row r="30" customFormat="false" ht="24" hidden="false" customHeight="true" outlineLevel="0" collapsed="false"/>
    <row r="31" customFormat="false" ht="24" hidden="false" customHeight="true" outlineLevel="0" collapsed="false"/>
    <row r="32" customFormat="false" ht="24" hidden="false" customHeight="true" outlineLevel="0" collapsed="false"/>
    <row r="33" customFormat="false" ht="24" hidden="false" customHeight="true" outlineLevel="0" collapsed="false"/>
    <row r="34" customFormat="false" ht="24" hidden="false" customHeight="true" outlineLevel="0" collapsed="false"/>
    <row r="35" customFormat="false" ht="24" hidden="false" customHeight="true" outlineLevel="0" collapsed="false"/>
    <row r="36" customFormat="false" ht="24" hidden="false" customHeight="true" outlineLevel="0" collapsed="false"/>
    <row r="37" customFormat="false" ht="24" hidden="false" customHeight="true" outlineLevel="0" collapsed="false"/>
    <row r="38" customFormat="false" ht="24" hidden="false" customHeight="true" outlineLevel="0" collapsed="false"/>
    <row r="39" customFormat="false" ht="24" hidden="false" customHeight="true" outlineLevel="0" collapsed="false"/>
    <row r="40" customFormat="false" ht="24" hidden="false" customHeight="true" outlineLevel="0" collapsed="false"/>
    <row r="41" customFormat="false" ht="24" hidden="false" customHeight="true" outlineLevel="0" collapsed="false"/>
    <row r="42" customFormat="false" ht="24" hidden="false" customHeight="true" outlineLevel="0" collapsed="false"/>
    <row r="43" customFormat="false" ht="24" hidden="false" customHeight="true" outlineLevel="0" collapsed="false"/>
    <row r="44" customFormat="false" ht="24" hidden="false" customHeight="true" outlineLevel="0" collapsed="false"/>
    <row r="45" customFormat="false" ht="24" hidden="false" customHeight="true" outlineLevel="0" collapsed="false"/>
    <row r="46" customFormat="false" ht="24" hidden="false" customHeight="true" outlineLevel="0" collapsed="false"/>
    <row r="47" customFormat="false" ht="24" hidden="false" customHeight="true" outlineLevel="0" collapsed="false"/>
    <row r="48" customFormat="false" ht="24" hidden="false" customHeight="true" outlineLevel="0" collapsed="false"/>
    <row r="49" customFormat="false" ht="24" hidden="false" customHeight="true" outlineLevel="0" collapsed="false"/>
    <row r="50" customFormat="false" ht="24" hidden="false" customHeight="true" outlineLevel="0" collapsed="false"/>
    <row r="51" customFormat="false" ht="24" hidden="false" customHeight="true" outlineLevel="0" collapsed="false"/>
    <row r="52" customFormat="false" ht="24" hidden="false" customHeight="true" outlineLevel="0" collapsed="false"/>
    <row r="53" customFormat="false" ht="24" hidden="false" customHeight="true" outlineLevel="0" collapsed="false"/>
    <row r="54" customFormat="false" ht="24" hidden="false" customHeight="true" outlineLevel="0" collapsed="false"/>
    <row r="55" customFormat="false" ht="24" hidden="false" customHeight="true" outlineLevel="0" collapsed="false"/>
    <row r="56" customFormat="false" ht="24" hidden="false" customHeight="true" outlineLevel="0" collapsed="false"/>
    <row r="57" customFormat="false" ht="24" hidden="false" customHeight="true" outlineLevel="0" collapsed="false"/>
    <row r="58" customFormat="false" ht="24" hidden="false" customHeight="true" outlineLevel="0" collapsed="false"/>
    <row r="59" customFormat="false" ht="24" hidden="false" customHeight="true" outlineLevel="0" collapsed="false"/>
    <row r="60" customFormat="false" ht="24" hidden="false" customHeight="true" outlineLevel="0" collapsed="false"/>
    <row r="61" customFormat="false" ht="24" hidden="false" customHeight="true" outlineLevel="0" collapsed="false"/>
    <row r="62" customFormat="false" ht="24" hidden="false" customHeight="true" outlineLevel="0" collapsed="false"/>
    <row r="63" customFormat="false" ht="24" hidden="false" customHeight="true" outlineLevel="0" collapsed="false"/>
    <row r="64" customFormat="false" ht="24" hidden="false" customHeight="true" outlineLevel="0" collapsed="false"/>
    <row r="65" customFormat="false" ht="24" hidden="false" customHeight="true" outlineLevel="0" collapsed="false"/>
    <row r="66" customFormat="false" ht="24" hidden="false" customHeight="true" outlineLevel="0" collapsed="false"/>
    <row r="67" customFormat="false" ht="24" hidden="false" customHeight="true" outlineLevel="0" collapsed="false"/>
    <row r="68" customFormat="false" ht="24" hidden="false" customHeight="true" outlineLevel="0" collapsed="false"/>
    <row r="69" customFormat="false" ht="24" hidden="false" customHeight="true" outlineLevel="0" collapsed="false"/>
    <row r="70" customFormat="false" ht="24" hidden="false" customHeight="true" outlineLevel="0" collapsed="false"/>
    <row r="71" customFormat="false" ht="24" hidden="false" customHeight="true" outlineLevel="0" collapsed="false"/>
    <row r="72" customFormat="false" ht="24" hidden="false" customHeight="true" outlineLevel="0" collapsed="false"/>
    <row r="73" customFormat="false" ht="24" hidden="false" customHeight="true" outlineLevel="0" collapsed="false"/>
    <row r="74" customFormat="false" ht="24" hidden="false" customHeight="true" outlineLevel="0" collapsed="false"/>
    <row r="75" customFormat="false" ht="24" hidden="false" customHeight="true" outlineLevel="0" collapsed="false"/>
    <row r="76" customFormat="false" ht="24" hidden="false" customHeight="true" outlineLevel="0" collapsed="false"/>
    <row r="77" customFormat="false" ht="24" hidden="false" customHeight="true" outlineLevel="0" collapsed="false"/>
    <row r="78" customFormat="false" ht="24" hidden="false" customHeight="true" outlineLevel="0" collapsed="false"/>
    <row r="79" customFormat="false" ht="24" hidden="false" customHeight="true" outlineLevel="0" collapsed="false"/>
    <row r="80" customFormat="false" ht="24" hidden="false" customHeight="true" outlineLevel="0" collapsed="false"/>
    <row r="81" customFormat="false" ht="24" hidden="false" customHeight="true" outlineLevel="0" collapsed="false"/>
    <row r="82" customFormat="false" ht="24" hidden="false" customHeight="true" outlineLevel="0" collapsed="false"/>
    <row r="83" customFormat="false" ht="24" hidden="false" customHeight="true" outlineLevel="0" collapsed="false"/>
    <row r="84" customFormat="false" ht="24" hidden="false" customHeight="true" outlineLevel="0" collapsed="false"/>
    <row r="85" customFormat="false" ht="24" hidden="false" customHeight="true" outlineLevel="0" collapsed="false"/>
    <row r="86" customFormat="false" ht="24" hidden="false" customHeight="true" outlineLevel="0" collapsed="false"/>
    <row r="87" customFormat="false" ht="24" hidden="false" customHeight="true" outlineLevel="0" collapsed="false"/>
    <row r="88" customFormat="false" ht="24" hidden="false" customHeight="true" outlineLevel="0" collapsed="false"/>
    <row r="89" customFormat="false" ht="24" hidden="false" customHeight="true" outlineLevel="0" collapsed="false"/>
    <row r="90" customFormat="false" ht="24" hidden="false" customHeight="true" outlineLevel="0" collapsed="false"/>
    <row r="91" customFormat="false" ht="24" hidden="false" customHeight="true" outlineLevel="0" collapsed="false"/>
    <row r="92" customFormat="false" ht="24" hidden="false" customHeight="true" outlineLevel="0" collapsed="false"/>
    <row r="93" customFormat="false" ht="24" hidden="false" customHeight="true" outlineLevel="0" collapsed="false"/>
    <row r="94" customFormat="false" ht="24" hidden="false" customHeight="true" outlineLevel="0" collapsed="false"/>
    <row r="95" customFormat="false" ht="24" hidden="false" customHeight="true" outlineLevel="0" collapsed="false"/>
    <row r="96" customFormat="false" ht="24" hidden="false" customHeight="true" outlineLevel="0" collapsed="false"/>
    <row r="97" customFormat="false" ht="24" hidden="false" customHeight="true" outlineLevel="0" collapsed="false"/>
    <row r="98" customFormat="false" ht="24" hidden="false" customHeight="true" outlineLevel="0" collapsed="false"/>
    <row r="99" customFormat="false" ht="24" hidden="false" customHeight="true" outlineLevel="0" collapsed="false"/>
    <row r="100" customFormat="false" ht="24" hidden="false" customHeight="true" outlineLevel="0" collapsed="false"/>
    <row r="101" customFormat="false" ht="24" hidden="false" customHeight="true" outlineLevel="0" collapsed="false"/>
    <row r="102" customFormat="false" ht="24" hidden="false" customHeight="true" outlineLevel="0" collapsed="false"/>
    <row r="103" customFormat="false" ht="24" hidden="false" customHeight="true" outlineLevel="0" collapsed="false"/>
    <row r="104" customFormat="false" ht="24" hidden="false" customHeight="true" outlineLevel="0" collapsed="false"/>
    <row r="105" customFormat="false" ht="24" hidden="false" customHeight="true" outlineLevel="0" collapsed="false"/>
    <row r="106" customFormat="false" ht="24" hidden="false" customHeight="true" outlineLevel="0" collapsed="false"/>
    <row r="107" customFormat="false" ht="24" hidden="false" customHeight="true" outlineLevel="0" collapsed="false"/>
    <row r="108" customFormat="false" ht="24" hidden="false" customHeight="true" outlineLevel="0" collapsed="false"/>
    <row r="109" customFormat="false" ht="24" hidden="false" customHeight="true" outlineLevel="0" collapsed="false"/>
    <row r="110" customFormat="false" ht="24" hidden="false" customHeight="true" outlineLevel="0" collapsed="false"/>
    <row r="111" customFormat="false" ht="24" hidden="false" customHeight="true" outlineLevel="0" collapsed="false"/>
    <row r="112" customFormat="false" ht="24" hidden="false" customHeight="true" outlineLevel="0" collapsed="false"/>
    <row r="113" customFormat="false" ht="24" hidden="false" customHeight="true" outlineLevel="0" collapsed="false"/>
    <row r="114" customFormat="false" ht="24" hidden="false" customHeight="true" outlineLevel="0" collapsed="false"/>
    <row r="115" customFormat="false" ht="24" hidden="false" customHeight="true" outlineLevel="0" collapsed="false"/>
    <row r="116" customFormat="false" ht="24" hidden="false" customHeight="true" outlineLevel="0" collapsed="false"/>
    <row r="117" customFormat="false" ht="24" hidden="false" customHeight="true" outlineLevel="0" collapsed="false"/>
    <row r="118" customFormat="false" ht="24" hidden="false" customHeight="true" outlineLevel="0" collapsed="false"/>
    <row r="119" customFormat="false" ht="24" hidden="false" customHeight="true" outlineLevel="0" collapsed="false"/>
    <row r="120" customFormat="false" ht="24" hidden="false" customHeight="true" outlineLevel="0" collapsed="false"/>
    <row r="121" customFormat="false" ht="24" hidden="false" customHeight="true" outlineLevel="0" collapsed="false"/>
    <row r="122" customFormat="false" ht="24" hidden="false" customHeight="true" outlineLevel="0" collapsed="false"/>
    <row r="123" customFormat="false" ht="24" hidden="false" customHeight="true" outlineLevel="0" collapsed="false"/>
    <row r="124" customFormat="false" ht="24" hidden="false" customHeight="true" outlineLevel="0" collapsed="false"/>
    <row r="125" customFormat="false" ht="24" hidden="false" customHeight="true" outlineLevel="0" collapsed="false"/>
    <row r="126" customFormat="false" ht="24" hidden="false" customHeight="true" outlineLevel="0" collapsed="false"/>
    <row r="127" customFormat="false" ht="24" hidden="false" customHeight="true" outlineLevel="0" collapsed="false"/>
    <row r="128" customFormat="false" ht="24" hidden="false" customHeight="true" outlineLevel="0" collapsed="false"/>
    <row r="129" customFormat="false" ht="24" hidden="false" customHeight="true" outlineLevel="0" collapsed="false"/>
    <row r="130" customFormat="false" ht="24" hidden="false" customHeight="true" outlineLevel="0" collapsed="false"/>
    <row r="131" customFormat="false" ht="24" hidden="false" customHeight="true" outlineLevel="0" collapsed="false"/>
    <row r="132" customFormat="false" ht="24" hidden="false" customHeight="true" outlineLevel="0" collapsed="false"/>
    <row r="133" customFormat="false" ht="24" hidden="false" customHeight="true" outlineLevel="0" collapsed="false"/>
    <row r="134" customFormat="false" ht="24" hidden="false" customHeight="true" outlineLevel="0" collapsed="false"/>
    <row r="135" customFormat="false" ht="24" hidden="false" customHeight="true" outlineLevel="0" collapsed="false"/>
    <row r="136" customFormat="false" ht="24" hidden="false" customHeight="true" outlineLevel="0" collapsed="false"/>
    <row r="137" customFormat="false" ht="24" hidden="false" customHeight="true" outlineLevel="0" collapsed="false"/>
    <row r="138" customFormat="false" ht="24" hidden="false" customHeight="true" outlineLevel="0" collapsed="false"/>
    <row r="139" customFormat="false" ht="24" hidden="false" customHeight="true" outlineLevel="0" collapsed="false"/>
    <row r="140" customFormat="false" ht="24" hidden="false" customHeight="true" outlineLevel="0" collapsed="false"/>
    <row r="141" customFormat="false" ht="24" hidden="false" customHeight="true" outlineLevel="0" collapsed="false"/>
    <row r="142" customFormat="false" ht="24" hidden="false" customHeight="true" outlineLevel="0" collapsed="false"/>
    <row r="143" customFormat="false" ht="24" hidden="false" customHeight="true" outlineLevel="0" collapsed="false"/>
    <row r="144" customFormat="false" ht="24" hidden="false" customHeight="true" outlineLevel="0" collapsed="false"/>
    <row r="145" customFormat="false" ht="24" hidden="false" customHeight="true" outlineLevel="0" collapsed="false"/>
    <row r="146" customFormat="false" ht="24" hidden="false" customHeight="true" outlineLevel="0" collapsed="false"/>
    <row r="147" customFormat="false" ht="24" hidden="false" customHeight="true" outlineLevel="0" collapsed="false"/>
    <row r="148" customFormat="false" ht="24" hidden="false" customHeight="true" outlineLevel="0" collapsed="false"/>
    <row r="149" customFormat="false" ht="24" hidden="false" customHeight="true" outlineLevel="0" collapsed="false"/>
    <row r="150" customFormat="false" ht="24" hidden="false" customHeight="true" outlineLevel="0" collapsed="false"/>
    <row r="151" customFormat="false" ht="24" hidden="false" customHeight="true" outlineLevel="0" collapsed="false"/>
    <row r="152" customFormat="false" ht="24" hidden="false" customHeight="true" outlineLevel="0" collapsed="false"/>
    <row r="153" customFormat="false" ht="24" hidden="false" customHeight="true" outlineLevel="0" collapsed="false"/>
    <row r="154" customFormat="false" ht="24" hidden="false" customHeight="true" outlineLevel="0" collapsed="false"/>
    <row r="155" customFormat="false" ht="24" hidden="false" customHeight="true" outlineLevel="0" collapsed="false"/>
    <row r="156" customFormat="false" ht="24" hidden="false" customHeight="true" outlineLevel="0" collapsed="false"/>
    <row r="157" customFormat="false" ht="24" hidden="false" customHeight="true" outlineLevel="0" collapsed="false"/>
    <row r="158" customFormat="false" ht="24" hidden="false" customHeight="true" outlineLevel="0" collapsed="false"/>
    <row r="159" customFormat="false" ht="24" hidden="false" customHeight="true" outlineLevel="0" collapsed="false"/>
    <row r="160" customFormat="false" ht="24" hidden="false" customHeight="true" outlineLevel="0" collapsed="false"/>
    <row r="161" customFormat="false" ht="24" hidden="false" customHeight="true" outlineLevel="0" collapsed="false"/>
    <row r="162" customFormat="false" ht="24" hidden="false" customHeight="true" outlineLevel="0" collapsed="false"/>
    <row r="163" customFormat="false" ht="24" hidden="false" customHeight="true" outlineLevel="0" collapsed="false"/>
    <row r="164" customFormat="false" ht="24" hidden="false" customHeight="true" outlineLevel="0" collapsed="false"/>
    <row r="165" customFormat="false" ht="24" hidden="false" customHeight="true" outlineLevel="0" collapsed="false"/>
    <row r="166" customFormat="false" ht="24" hidden="false" customHeight="true" outlineLevel="0" collapsed="false"/>
    <row r="167" customFormat="false" ht="24" hidden="false" customHeight="true" outlineLevel="0" collapsed="false"/>
    <row r="168" customFormat="false" ht="24" hidden="false" customHeight="true" outlineLevel="0" collapsed="false"/>
    <row r="169" customFormat="false" ht="24" hidden="false" customHeight="true" outlineLevel="0" collapsed="false"/>
    <row r="170" customFormat="false" ht="24" hidden="false" customHeight="true" outlineLevel="0" collapsed="false"/>
    <row r="171" customFormat="false" ht="24" hidden="false" customHeight="true" outlineLevel="0" collapsed="false"/>
    <row r="172" customFormat="false" ht="24" hidden="false" customHeight="true" outlineLevel="0" collapsed="false"/>
    <row r="173" customFormat="false" ht="24" hidden="false" customHeight="true" outlineLevel="0" collapsed="false"/>
    <row r="174" customFormat="false" ht="24" hidden="false" customHeight="true" outlineLevel="0" collapsed="false"/>
    <row r="175" customFormat="false" ht="24" hidden="false" customHeight="true" outlineLevel="0" collapsed="false"/>
    <row r="176" customFormat="false" ht="24" hidden="false" customHeight="true" outlineLevel="0" collapsed="false"/>
    <row r="177" customFormat="false" ht="24" hidden="false" customHeight="true" outlineLevel="0" collapsed="false"/>
    <row r="178" customFormat="false" ht="24" hidden="false" customHeight="true" outlineLevel="0" collapsed="false"/>
    <row r="179" customFormat="false" ht="24" hidden="false" customHeight="true" outlineLevel="0" collapsed="false"/>
    <row r="180" customFormat="false" ht="24" hidden="false" customHeight="true" outlineLevel="0" collapsed="false"/>
    <row r="181" customFormat="false" ht="24" hidden="false" customHeight="true" outlineLevel="0" collapsed="false"/>
    <row r="182" customFormat="false" ht="24" hidden="false" customHeight="true" outlineLevel="0" collapsed="false"/>
    <row r="183" customFormat="false" ht="24" hidden="false" customHeight="true" outlineLevel="0" collapsed="false"/>
    <row r="184" customFormat="false" ht="24" hidden="false" customHeight="true" outlineLevel="0" collapsed="false"/>
    <row r="185" customFormat="false" ht="24" hidden="false" customHeight="true" outlineLevel="0" collapsed="false"/>
    <row r="186" customFormat="false" ht="24" hidden="false" customHeight="true" outlineLevel="0" collapsed="false"/>
    <row r="187" customFormat="false" ht="24" hidden="false" customHeight="true" outlineLevel="0" collapsed="false"/>
    <row r="188" customFormat="false" ht="24" hidden="false" customHeight="true" outlineLevel="0" collapsed="false"/>
    <row r="189" customFormat="false" ht="24" hidden="false" customHeight="true" outlineLevel="0" collapsed="false"/>
    <row r="190" customFormat="false" ht="24" hidden="false" customHeight="true" outlineLevel="0" collapsed="false"/>
    <row r="191" customFormat="false" ht="24" hidden="false" customHeight="true" outlineLevel="0" collapsed="false"/>
    <row r="192" customFormat="false" ht="24" hidden="false" customHeight="true" outlineLevel="0" collapsed="false"/>
    <row r="193" customFormat="false" ht="24" hidden="false" customHeight="true" outlineLevel="0" collapsed="false"/>
    <row r="194" customFormat="false" ht="24" hidden="false" customHeight="true" outlineLevel="0" collapsed="false"/>
    <row r="195" customFormat="false" ht="24" hidden="false" customHeight="true" outlineLevel="0" collapsed="false"/>
    <row r="196" customFormat="false" ht="24" hidden="false" customHeight="true" outlineLevel="0" collapsed="false"/>
    <row r="197" customFormat="false" ht="24" hidden="false" customHeight="true" outlineLevel="0" collapsed="false"/>
    <row r="198" customFormat="false" ht="24" hidden="false" customHeight="true" outlineLevel="0" collapsed="false"/>
    <row r="199" customFormat="false" ht="24" hidden="false" customHeight="true" outlineLevel="0" collapsed="false"/>
    <row r="200" customFormat="false" ht="24" hidden="false" customHeight="true" outlineLevel="0" collapsed="false"/>
    <row r="201" customFormat="false" ht="24" hidden="false" customHeight="true" outlineLevel="0" collapsed="false"/>
    <row r="202" customFormat="false" ht="24" hidden="false" customHeight="true" outlineLevel="0" collapsed="false"/>
    <row r="203" customFormat="false" ht="24" hidden="false" customHeight="true" outlineLevel="0" collapsed="false"/>
    <row r="204" customFormat="false" ht="24" hidden="false" customHeight="true" outlineLevel="0" collapsed="false"/>
    <row r="205" customFormat="false" ht="24" hidden="false" customHeight="true" outlineLevel="0" collapsed="false"/>
    <row r="206" customFormat="false" ht="24" hidden="false" customHeight="true" outlineLevel="0" collapsed="false"/>
    <row r="207" customFormat="false" ht="24" hidden="false" customHeight="true" outlineLevel="0" collapsed="false"/>
    <row r="208" customFormat="false" ht="24" hidden="false" customHeight="true" outlineLevel="0" collapsed="false"/>
    <row r="209" customFormat="false" ht="24" hidden="false" customHeight="true" outlineLevel="0" collapsed="false"/>
    <row r="210" customFormat="false" ht="24" hidden="false" customHeight="true" outlineLevel="0" collapsed="false"/>
    <row r="211" customFormat="false" ht="24" hidden="false" customHeight="true" outlineLevel="0" collapsed="false"/>
    <row r="212" customFormat="false" ht="24" hidden="false" customHeight="true" outlineLevel="0" collapsed="false"/>
    <row r="213" customFormat="false" ht="24" hidden="false" customHeight="true" outlineLevel="0" collapsed="false"/>
    <row r="214" customFormat="false" ht="24" hidden="false" customHeight="true" outlineLevel="0" collapsed="false"/>
    <row r="215" customFormat="false" ht="24" hidden="false" customHeight="true" outlineLevel="0" collapsed="false"/>
    <row r="216" customFormat="false" ht="24" hidden="false" customHeight="true" outlineLevel="0" collapsed="false"/>
    <row r="217" customFormat="false" ht="24" hidden="false" customHeight="true" outlineLevel="0" collapsed="false"/>
    <row r="218" customFormat="false" ht="24" hidden="false" customHeight="true" outlineLevel="0" collapsed="false"/>
    <row r="219" customFormat="false" ht="24" hidden="false" customHeight="true" outlineLevel="0" collapsed="false"/>
    <row r="220" customFormat="false" ht="24" hidden="false" customHeight="true" outlineLevel="0" collapsed="false"/>
    <row r="221" customFormat="false" ht="24" hidden="false" customHeight="true" outlineLevel="0" collapsed="false"/>
    <row r="222" customFormat="false" ht="24" hidden="false" customHeight="true" outlineLevel="0" collapsed="false"/>
    <row r="223" customFormat="false" ht="24" hidden="false" customHeight="true" outlineLevel="0" collapsed="false"/>
    <row r="224" customFormat="false" ht="24" hidden="false" customHeight="true" outlineLevel="0" collapsed="false"/>
    <row r="225" customFormat="false" ht="24" hidden="false" customHeight="true" outlineLevel="0" collapsed="false"/>
    <row r="226" customFormat="false" ht="24" hidden="false" customHeight="true" outlineLevel="0" collapsed="false"/>
    <row r="227" customFormat="false" ht="24" hidden="false" customHeight="true" outlineLevel="0" collapsed="false"/>
    <row r="228" customFormat="false" ht="24" hidden="false" customHeight="true" outlineLevel="0" collapsed="false"/>
    <row r="229" customFormat="false" ht="24" hidden="false" customHeight="true" outlineLevel="0" collapsed="false"/>
    <row r="230" customFormat="false" ht="24" hidden="false" customHeight="true" outlineLevel="0" collapsed="false"/>
    <row r="231" customFormat="false" ht="24" hidden="false" customHeight="true" outlineLevel="0" collapsed="false"/>
    <row r="232" customFormat="false" ht="24" hidden="false" customHeight="true" outlineLevel="0" collapsed="false"/>
    <row r="233" customFormat="false" ht="24" hidden="false" customHeight="true" outlineLevel="0" collapsed="false"/>
    <row r="234" customFormat="false" ht="24" hidden="false" customHeight="true" outlineLevel="0" collapsed="false"/>
    <row r="235" customFormat="false" ht="24" hidden="false" customHeight="true" outlineLevel="0" collapsed="false"/>
    <row r="236" customFormat="false" ht="24" hidden="false" customHeight="true" outlineLevel="0" collapsed="false"/>
    <row r="237" customFormat="false" ht="24" hidden="false" customHeight="true" outlineLevel="0" collapsed="false"/>
    <row r="238" customFormat="false" ht="24" hidden="false" customHeight="true" outlineLevel="0" collapsed="false"/>
    <row r="239" customFormat="false" ht="24" hidden="false" customHeight="true" outlineLevel="0" collapsed="false"/>
    <row r="240" customFormat="false" ht="24" hidden="false" customHeight="true" outlineLevel="0" collapsed="false"/>
    <row r="241" customFormat="false" ht="24" hidden="false" customHeight="true" outlineLevel="0" collapsed="false"/>
    <row r="242" customFormat="false" ht="24" hidden="false" customHeight="true" outlineLevel="0" collapsed="false"/>
    <row r="243" customFormat="false" ht="24" hidden="false" customHeight="true" outlineLevel="0" collapsed="false"/>
    <row r="244" customFormat="false" ht="24" hidden="false" customHeight="true" outlineLevel="0" collapsed="false"/>
    <row r="245" customFormat="false" ht="24" hidden="false" customHeight="true" outlineLevel="0" collapsed="false"/>
    <row r="246" customFormat="false" ht="24" hidden="false" customHeight="true" outlineLevel="0" collapsed="false"/>
    <row r="247" customFormat="false" ht="24" hidden="false" customHeight="true" outlineLevel="0" collapsed="false"/>
    <row r="248" customFormat="false" ht="24" hidden="false" customHeight="true" outlineLevel="0" collapsed="false"/>
    <row r="249" customFormat="false" ht="24" hidden="false" customHeight="true" outlineLevel="0" collapsed="false"/>
    <row r="250" customFormat="false" ht="24" hidden="false" customHeight="true" outlineLevel="0" collapsed="false"/>
    <row r="251" customFormat="false" ht="24" hidden="false" customHeight="true" outlineLevel="0" collapsed="false"/>
    <row r="252" customFormat="false" ht="24" hidden="false" customHeight="true" outlineLevel="0" collapsed="false"/>
    <row r="253" customFormat="false" ht="24" hidden="false" customHeight="true" outlineLevel="0" collapsed="false"/>
    <row r="254" customFormat="false" ht="24" hidden="false" customHeight="true" outlineLevel="0" collapsed="false"/>
    <row r="255" customFormat="false" ht="24" hidden="false" customHeight="true" outlineLevel="0" collapsed="false"/>
    <row r="256" customFormat="false" ht="24" hidden="false" customHeight="true" outlineLevel="0" collapsed="false"/>
    <row r="257" customFormat="false" ht="24" hidden="false" customHeight="true" outlineLevel="0" collapsed="false"/>
    <row r="258" customFormat="false" ht="24" hidden="false" customHeight="true" outlineLevel="0" collapsed="false"/>
    <row r="259" customFormat="false" ht="24" hidden="false" customHeight="true" outlineLevel="0" collapsed="false"/>
    <row r="260" customFormat="false" ht="24" hidden="false" customHeight="true" outlineLevel="0" collapsed="false"/>
    <row r="261" customFormat="false" ht="24" hidden="false" customHeight="true" outlineLevel="0" collapsed="false"/>
    <row r="262" customFormat="false" ht="24" hidden="false" customHeight="true" outlineLevel="0" collapsed="false"/>
    <row r="263" customFormat="false" ht="24" hidden="false" customHeight="true" outlineLevel="0" collapsed="false"/>
    <row r="264" customFormat="false" ht="24" hidden="false" customHeight="true" outlineLevel="0" collapsed="false"/>
    <row r="265" customFormat="false" ht="24" hidden="false" customHeight="true" outlineLevel="0" collapsed="false"/>
    <row r="266" customFormat="false" ht="24" hidden="false" customHeight="true" outlineLevel="0" collapsed="false"/>
    <row r="267" customFormat="false" ht="24" hidden="false" customHeight="true" outlineLevel="0" collapsed="false"/>
    <row r="268" customFormat="false" ht="24" hidden="false" customHeight="true" outlineLevel="0" collapsed="false"/>
    <row r="269" customFormat="false" ht="24" hidden="false" customHeight="true" outlineLevel="0" collapsed="false"/>
    <row r="270" customFormat="false" ht="24" hidden="false" customHeight="true" outlineLevel="0" collapsed="false"/>
    <row r="271" customFormat="false" ht="24" hidden="false" customHeight="true" outlineLevel="0" collapsed="false"/>
    <row r="272" customFormat="false" ht="24" hidden="false" customHeight="true" outlineLevel="0" collapsed="false"/>
    <row r="273" customFormat="false" ht="24" hidden="false" customHeight="true" outlineLevel="0" collapsed="false"/>
    <row r="274" customFormat="false" ht="24" hidden="false" customHeight="true" outlineLevel="0" collapsed="false"/>
    <row r="275" customFormat="false" ht="24" hidden="false" customHeight="true" outlineLevel="0" collapsed="false"/>
    <row r="276" customFormat="false" ht="24" hidden="false" customHeight="true" outlineLevel="0" collapsed="false"/>
    <row r="277" customFormat="false" ht="24" hidden="false" customHeight="true" outlineLevel="0" collapsed="false"/>
    <row r="278" customFormat="false" ht="24" hidden="false" customHeight="true" outlineLevel="0" collapsed="false"/>
    <row r="279" customFormat="false" ht="24" hidden="false" customHeight="true" outlineLevel="0" collapsed="false"/>
    <row r="280" customFormat="false" ht="24" hidden="false" customHeight="true" outlineLevel="0" collapsed="false"/>
    <row r="281" customFormat="false" ht="24" hidden="false" customHeight="true" outlineLevel="0" collapsed="false"/>
    <row r="282" customFormat="false" ht="24" hidden="false" customHeight="true" outlineLevel="0" collapsed="false"/>
    <row r="283" customFormat="false" ht="24" hidden="false" customHeight="true" outlineLevel="0" collapsed="false"/>
    <row r="284" customFormat="false" ht="24" hidden="false" customHeight="true" outlineLevel="0" collapsed="false"/>
    <row r="285" customFormat="false" ht="24" hidden="false" customHeight="true" outlineLevel="0" collapsed="false"/>
    <row r="286" customFormat="false" ht="24" hidden="false" customHeight="true" outlineLevel="0" collapsed="false"/>
    <row r="287" customFormat="false" ht="24" hidden="false" customHeight="true" outlineLevel="0" collapsed="false"/>
    <row r="288" customFormat="false" ht="24" hidden="false" customHeight="true" outlineLevel="0" collapsed="false"/>
    <row r="289" customFormat="false" ht="24" hidden="false" customHeight="true" outlineLevel="0" collapsed="false"/>
    <row r="290" customFormat="false" ht="24" hidden="false" customHeight="true" outlineLevel="0" collapsed="false"/>
    <row r="291" customFormat="false" ht="24" hidden="false" customHeight="true" outlineLevel="0" collapsed="false"/>
    <row r="292" customFormat="false" ht="24" hidden="false" customHeight="true" outlineLevel="0" collapsed="false"/>
    <row r="293" customFormat="false" ht="24" hidden="false" customHeight="true" outlineLevel="0" collapsed="false"/>
    <row r="294" customFormat="false" ht="24" hidden="false" customHeight="true" outlineLevel="0" collapsed="false"/>
    <row r="295" customFormat="false" ht="24" hidden="false" customHeight="true" outlineLevel="0" collapsed="false"/>
    <row r="296" customFormat="false" ht="24" hidden="false" customHeight="true" outlineLevel="0" collapsed="false"/>
    <row r="297" customFormat="false" ht="24" hidden="false" customHeight="true" outlineLevel="0" collapsed="false"/>
    <row r="298" customFormat="false" ht="24" hidden="false" customHeight="true" outlineLevel="0" collapsed="false"/>
    <row r="299" customFormat="false" ht="24" hidden="false" customHeight="true" outlineLevel="0" collapsed="false"/>
    <row r="300" customFormat="false" ht="24" hidden="false" customHeight="true" outlineLevel="0" collapsed="false"/>
    <row r="301" customFormat="false" ht="24" hidden="false" customHeight="true" outlineLevel="0" collapsed="false"/>
    <row r="302" customFormat="false" ht="24" hidden="false" customHeight="true" outlineLevel="0" collapsed="false"/>
    <row r="303" customFormat="false" ht="24" hidden="false" customHeight="true" outlineLevel="0" collapsed="false"/>
    <row r="304" customFormat="false" ht="24" hidden="false" customHeight="true" outlineLevel="0" collapsed="false"/>
    <row r="305" customFormat="false" ht="24" hidden="false" customHeight="true" outlineLevel="0" collapsed="false"/>
    <row r="306" customFormat="false" ht="24" hidden="false" customHeight="true" outlineLevel="0" collapsed="false"/>
    <row r="307" customFormat="false" ht="24" hidden="false" customHeight="true" outlineLevel="0" collapsed="false"/>
    <row r="308" customFormat="false" ht="24" hidden="false" customHeight="true" outlineLevel="0" collapsed="false"/>
    <row r="309" customFormat="false" ht="24" hidden="false" customHeight="true" outlineLevel="0" collapsed="false"/>
    <row r="310" customFormat="false" ht="24" hidden="false" customHeight="true" outlineLevel="0" collapsed="false"/>
    <row r="311" customFormat="false" ht="24" hidden="false" customHeight="true" outlineLevel="0" collapsed="false"/>
    <row r="312" customFormat="false" ht="24" hidden="false" customHeight="true" outlineLevel="0" collapsed="false"/>
    <row r="313" customFormat="false" ht="24" hidden="false" customHeight="true" outlineLevel="0" collapsed="false"/>
    <row r="314" customFormat="false" ht="24" hidden="false" customHeight="true" outlineLevel="0" collapsed="false"/>
    <row r="315" customFormat="false" ht="24" hidden="false" customHeight="true" outlineLevel="0" collapsed="false"/>
    <row r="316" customFormat="false" ht="24" hidden="false" customHeight="true" outlineLevel="0" collapsed="false"/>
    <row r="317" customFormat="false" ht="24" hidden="false" customHeight="true" outlineLevel="0" collapsed="false"/>
    <row r="318" customFormat="false" ht="24" hidden="false" customHeight="true" outlineLevel="0" collapsed="false"/>
    <row r="319" customFormat="false" ht="24" hidden="false" customHeight="true" outlineLevel="0" collapsed="false"/>
    <row r="320" customFormat="false" ht="24" hidden="false" customHeight="true" outlineLevel="0" collapsed="false"/>
    <row r="321" customFormat="false" ht="24" hidden="false" customHeight="true" outlineLevel="0" collapsed="false"/>
    <row r="322" customFormat="false" ht="24" hidden="false" customHeight="true" outlineLevel="0" collapsed="false"/>
    <row r="323" customFormat="false" ht="24" hidden="false" customHeight="true" outlineLevel="0" collapsed="false"/>
    <row r="324" customFormat="false" ht="24" hidden="false" customHeight="true" outlineLevel="0" collapsed="false"/>
    <row r="325" customFormat="false" ht="24" hidden="false" customHeight="true" outlineLevel="0" collapsed="false"/>
    <row r="326" customFormat="false" ht="24" hidden="false" customHeight="true" outlineLevel="0" collapsed="false"/>
    <row r="327" customFormat="false" ht="24" hidden="false" customHeight="true" outlineLevel="0" collapsed="false"/>
    <row r="328" customFormat="false" ht="24" hidden="false" customHeight="true" outlineLevel="0" collapsed="false"/>
    <row r="329" customFormat="false" ht="24" hidden="false" customHeight="true" outlineLevel="0" collapsed="false"/>
    <row r="330" customFormat="false" ht="24" hidden="false" customHeight="true" outlineLevel="0" collapsed="false"/>
    <row r="331" customFormat="false" ht="24" hidden="false" customHeight="true" outlineLevel="0" collapsed="false"/>
    <row r="332" customFormat="false" ht="24" hidden="false" customHeight="true" outlineLevel="0" collapsed="false"/>
    <row r="333" customFormat="false" ht="24" hidden="false" customHeight="true" outlineLevel="0" collapsed="false"/>
    <row r="334" customFormat="false" ht="24" hidden="false" customHeight="true" outlineLevel="0" collapsed="false"/>
    <row r="335" customFormat="false" ht="24" hidden="false" customHeight="true" outlineLevel="0" collapsed="false"/>
    <row r="336" customFormat="false" ht="24" hidden="false" customHeight="true" outlineLevel="0" collapsed="false"/>
    <row r="337" customFormat="false" ht="24" hidden="false" customHeight="true" outlineLevel="0" collapsed="false"/>
    <row r="338" customFormat="false" ht="24" hidden="false" customHeight="true" outlineLevel="0" collapsed="false"/>
    <row r="339" customFormat="false" ht="24" hidden="false" customHeight="true" outlineLevel="0" collapsed="false"/>
    <row r="340" customFormat="false" ht="24" hidden="false" customHeight="true" outlineLevel="0" collapsed="false"/>
    <row r="341" customFormat="false" ht="24" hidden="false" customHeight="true" outlineLevel="0" collapsed="false"/>
    <row r="342" customFormat="false" ht="24" hidden="false" customHeight="true" outlineLevel="0" collapsed="false"/>
    <row r="343" customFormat="false" ht="24" hidden="false" customHeight="true" outlineLevel="0" collapsed="false"/>
    <row r="344" customFormat="false" ht="24" hidden="false" customHeight="true" outlineLevel="0" collapsed="false"/>
    <row r="345" customFormat="false" ht="24" hidden="false" customHeight="true" outlineLevel="0" collapsed="false"/>
    <row r="346" customFormat="false" ht="24" hidden="false" customHeight="true" outlineLevel="0" collapsed="false"/>
    <row r="347" customFormat="false" ht="24" hidden="false" customHeight="true" outlineLevel="0" collapsed="false"/>
    <row r="348" customFormat="false" ht="24" hidden="false" customHeight="true" outlineLevel="0" collapsed="false"/>
    <row r="349" customFormat="false" ht="24" hidden="false" customHeight="true" outlineLevel="0" collapsed="false"/>
    <row r="350" customFormat="false" ht="24" hidden="false" customHeight="true" outlineLevel="0" collapsed="false"/>
    <row r="351" customFormat="false" ht="24" hidden="false" customHeight="true" outlineLevel="0" collapsed="false"/>
    <row r="352" customFormat="false" ht="24" hidden="false" customHeight="true" outlineLevel="0" collapsed="false"/>
    <row r="353" customFormat="false" ht="24" hidden="false" customHeight="true" outlineLevel="0" collapsed="false"/>
    <row r="354" customFormat="false" ht="24" hidden="false" customHeight="true" outlineLevel="0" collapsed="false"/>
    <row r="355" customFormat="false" ht="24" hidden="false" customHeight="true" outlineLevel="0" collapsed="false"/>
    <row r="356" customFormat="false" ht="24" hidden="false" customHeight="true" outlineLevel="0" collapsed="false"/>
    <row r="357" customFormat="false" ht="24" hidden="false" customHeight="true" outlineLevel="0" collapsed="false"/>
    <row r="358" customFormat="false" ht="24" hidden="false" customHeight="true" outlineLevel="0" collapsed="false"/>
    <row r="359" customFormat="false" ht="24" hidden="false" customHeight="true" outlineLevel="0" collapsed="false"/>
    <row r="360" customFormat="false" ht="24" hidden="false" customHeight="true" outlineLevel="0" collapsed="false"/>
    <row r="361" customFormat="false" ht="24" hidden="false" customHeight="true" outlineLevel="0" collapsed="false"/>
    <row r="362" customFormat="false" ht="24" hidden="false" customHeight="true" outlineLevel="0" collapsed="false"/>
    <row r="363" customFormat="false" ht="24" hidden="false" customHeight="true" outlineLevel="0" collapsed="false"/>
    <row r="364" customFormat="false" ht="24" hidden="false" customHeight="true" outlineLevel="0" collapsed="false"/>
    <row r="365" customFormat="false" ht="24" hidden="false" customHeight="true" outlineLevel="0" collapsed="false"/>
    <row r="366" customFormat="false" ht="24" hidden="false" customHeight="true" outlineLevel="0" collapsed="false"/>
    <row r="367" customFormat="false" ht="24" hidden="false" customHeight="true" outlineLevel="0" collapsed="false"/>
    <row r="368" customFormat="false" ht="24" hidden="false" customHeight="true" outlineLevel="0" collapsed="false"/>
    <row r="369" customFormat="false" ht="24" hidden="false" customHeight="true" outlineLevel="0" collapsed="false"/>
    <row r="370" customFormat="false" ht="24" hidden="false" customHeight="true" outlineLevel="0" collapsed="false"/>
    <row r="371" customFormat="false" ht="24" hidden="false" customHeight="true" outlineLevel="0" collapsed="false"/>
    <row r="372" customFormat="false" ht="24" hidden="false" customHeight="true" outlineLevel="0" collapsed="false"/>
    <row r="373" customFormat="false" ht="24" hidden="false" customHeight="true" outlineLevel="0" collapsed="false"/>
    <row r="374" customFormat="false" ht="24" hidden="false" customHeight="true" outlineLevel="0" collapsed="false"/>
    <row r="375" customFormat="false" ht="24" hidden="false" customHeight="true" outlineLevel="0" collapsed="false"/>
    <row r="376" customFormat="false" ht="24" hidden="false" customHeight="true" outlineLevel="0" collapsed="false"/>
    <row r="377" customFormat="false" ht="24" hidden="false" customHeight="true" outlineLevel="0" collapsed="false"/>
    <row r="378" customFormat="false" ht="24" hidden="false" customHeight="true" outlineLevel="0" collapsed="false"/>
    <row r="379" customFormat="false" ht="24" hidden="false" customHeight="true" outlineLevel="0" collapsed="false"/>
    <row r="380" customFormat="false" ht="24" hidden="false" customHeight="true" outlineLevel="0" collapsed="false"/>
    <row r="381" customFormat="false" ht="24" hidden="false" customHeight="true" outlineLevel="0" collapsed="false"/>
    <row r="382" customFormat="false" ht="24" hidden="false" customHeight="true" outlineLevel="0" collapsed="false"/>
    <row r="383" customFormat="false" ht="24" hidden="false" customHeight="true" outlineLevel="0" collapsed="false"/>
    <row r="384" customFormat="false" ht="24" hidden="false" customHeight="true" outlineLevel="0" collapsed="false"/>
    <row r="385" customFormat="false" ht="24" hidden="false" customHeight="true" outlineLevel="0" collapsed="false"/>
    <row r="386" customFormat="false" ht="24" hidden="false" customHeight="true" outlineLevel="0" collapsed="false"/>
    <row r="387" customFormat="false" ht="24" hidden="false" customHeight="true" outlineLevel="0" collapsed="false"/>
    <row r="388" customFormat="false" ht="24" hidden="false" customHeight="true" outlineLevel="0" collapsed="false"/>
    <row r="389" customFormat="false" ht="24" hidden="false" customHeight="true" outlineLevel="0" collapsed="false"/>
    <row r="390" customFormat="false" ht="24" hidden="false" customHeight="true" outlineLevel="0" collapsed="false"/>
    <row r="391" customFormat="false" ht="24" hidden="false" customHeight="true" outlineLevel="0" collapsed="false"/>
    <row r="392" customFormat="false" ht="24" hidden="false" customHeight="true" outlineLevel="0" collapsed="false"/>
    <row r="393" customFormat="false" ht="24" hidden="false" customHeight="true" outlineLevel="0" collapsed="false"/>
    <row r="394" customFormat="false" ht="24" hidden="false" customHeight="true" outlineLevel="0" collapsed="false"/>
    <row r="395" customFormat="false" ht="24" hidden="false" customHeight="true" outlineLevel="0" collapsed="false"/>
    <row r="396" customFormat="false" ht="24" hidden="false" customHeight="true" outlineLevel="0" collapsed="false"/>
    <row r="397" customFormat="false" ht="24" hidden="false" customHeight="true" outlineLevel="0" collapsed="false"/>
    <row r="398" customFormat="false" ht="24" hidden="false" customHeight="true" outlineLevel="0" collapsed="false"/>
    <row r="399" customFormat="false" ht="24" hidden="false" customHeight="true" outlineLevel="0" collapsed="false"/>
    <row r="400" customFormat="false" ht="24" hidden="false" customHeight="true" outlineLevel="0" collapsed="false"/>
    <row r="401" customFormat="false" ht="24" hidden="false" customHeight="true" outlineLevel="0" collapsed="false"/>
    <row r="402" customFormat="false" ht="24" hidden="false" customHeight="true" outlineLevel="0" collapsed="false"/>
    <row r="403" customFormat="false" ht="24" hidden="false" customHeight="true" outlineLevel="0" collapsed="false"/>
    <row r="404" customFormat="false" ht="24" hidden="false" customHeight="true" outlineLevel="0" collapsed="false"/>
    <row r="405" customFormat="false" ht="24" hidden="false" customHeight="true" outlineLevel="0" collapsed="false"/>
    <row r="406" customFormat="false" ht="24" hidden="false" customHeight="true" outlineLevel="0" collapsed="false"/>
    <row r="407" customFormat="false" ht="24" hidden="false" customHeight="true" outlineLevel="0" collapsed="false"/>
    <row r="408" customFormat="false" ht="24" hidden="false" customHeight="true" outlineLevel="0" collapsed="false"/>
    <row r="409" customFormat="false" ht="24" hidden="false" customHeight="true" outlineLevel="0" collapsed="false"/>
    <row r="410" customFormat="false" ht="24" hidden="false" customHeight="true" outlineLevel="0" collapsed="false"/>
    <row r="411" customFormat="false" ht="24" hidden="false" customHeight="true" outlineLevel="0" collapsed="false"/>
    <row r="412" customFormat="false" ht="24" hidden="false" customHeight="true" outlineLevel="0" collapsed="false"/>
    <row r="413" customFormat="false" ht="24" hidden="false" customHeight="true" outlineLevel="0" collapsed="false"/>
    <row r="414" customFormat="false" ht="24" hidden="false" customHeight="true" outlineLevel="0" collapsed="false"/>
    <row r="415" customFormat="false" ht="24" hidden="false" customHeight="true" outlineLevel="0" collapsed="false"/>
    <row r="416" customFormat="false" ht="24" hidden="false" customHeight="true" outlineLevel="0" collapsed="false"/>
    <row r="417" customFormat="false" ht="24" hidden="false" customHeight="true" outlineLevel="0" collapsed="false"/>
    <row r="418" customFormat="false" ht="24" hidden="false" customHeight="true" outlineLevel="0" collapsed="false"/>
    <row r="419" customFormat="false" ht="24" hidden="false" customHeight="true" outlineLevel="0" collapsed="false"/>
    <row r="420" customFormat="false" ht="24" hidden="false" customHeight="true" outlineLevel="0" collapsed="false"/>
    <row r="421" customFormat="false" ht="24" hidden="false" customHeight="true" outlineLevel="0" collapsed="false"/>
    <row r="422" customFormat="false" ht="24" hidden="false" customHeight="true" outlineLevel="0" collapsed="false"/>
    <row r="423" customFormat="false" ht="24" hidden="false" customHeight="true" outlineLevel="0" collapsed="false"/>
    <row r="424" customFormat="false" ht="24" hidden="false" customHeight="true" outlineLevel="0" collapsed="false"/>
    <row r="425" customFormat="false" ht="24" hidden="false" customHeight="true" outlineLevel="0" collapsed="false"/>
    <row r="426" customFormat="false" ht="24" hidden="false" customHeight="true" outlineLevel="0" collapsed="false"/>
    <row r="427" customFormat="false" ht="24" hidden="false" customHeight="true" outlineLevel="0" collapsed="false"/>
    <row r="428" customFormat="false" ht="24" hidden="false" customHeight="true" outlineLevel="0" collapsed="false"/>
    <row r="429" customFormat="false" ht="24" hidden="false" customHeight="true" outlineLevel="0" collapsed="false"/>
    <row r="430" customFormat="false" ht="24" hidden="false" customHeight="true" outlineLevel="0" collapsed="false"/>
    <row r="431" customFormat="false" ht="24" hidden="false" customHeight="true" outlineLevel="0" collapsed="false"/>
    <row r="432" customFormat="false" ht="24" hidden="false" customHeight="true" outlineLevel="0" collapsed="false"/>
    <row r="433" customFormat="false" ht="24" hidden="false" customHeight="true" outlineLevel="0" collapsed="false"/>
    <row r="434" customFormat="false" ht="24" hidden="false" customHeight="true" outlineLevel="0" collapsed="false"/>
    <row r="435" customFormat="false" ht="24" hidden="false" customHeight="true" outlineLevel="0" collapsed="false"/>
    <row r="436" customFormat="false" ht="24" hidden="false" customHeight="true" outlineLevel="0" collapsed="false"/>
    <row r="437" customFormat="false" ht="24" hidden="false" customHeight="true" outlineLevel="0" collapsed="false"/>
    <row r="438" customFormat="false" ht="24" hidden="false" customHeight="true" outlineLevel="0" collapsed="false"/>
    <row r="439" customFormat="false" ht="24" hidden="false" customHeight="true" outlineLevel="0" collapsed="false"/>
    <row r="440" customFormat="false" ht="24" hidden="false" customHeight="true" outlineLevel="0" collapsed="false"/>
    <row r="441" customFormat="false" ht="24" hidden="false" customHeight="true" outlineLevel="0" collapsed="false"/>
    <row r="442" customFormat="false" ht="24" hidden="false" customHeight="true" outlineLevel="0" collapsed="false"/>
    <row r="443" customFormat="false" ht="24" hidden="false" customHeight="true" outlineLevel="0" collapsed="false"/>
    <row r="444" customFormat="false" ht="24" hidden="false" customHeight="true" outlineLevel="0" collapsed="false"/>
    <row r="445" customFormat="false" ht="24" hidden="false" customHeight="true" outlineLevel="0" collapsed="false"/>
    <row r="446" customFormat="false" ht="24" hidden="false" customHeight="true" outlineLevel="0" collapsed="false"/>
    <row r="447" customFormat="false" ht="24" hidden="false" customHeight="true" outlineLevel="0" collapsed="false"/>
    <row r="448" customFormat="false" ht="24" hidden="false" customHeight="true" outlineLevel="0" collapsed="false"/>
    <row r="449" customFormat="false" ht="24" hidden="false" customHeight="true" outlineLevel="0" collapsed="false"/>
    <row r="450" customFormat="false" ht="24" hidden="false" customHeight="true" outlineLevel="0" collapsed="false"/>
    <row r="451" customFormat="false" ht="24" hidden="false" customHeight="true" outlineLevel="0" collapsed="false"/>
    <row r="452" customFormat="false" ht="24" hidden="false" customHeight="true" outlineLevel="0" collapsed="false"/>
    <row r="453" customFormat="false" ht="24" hidden="false" customHeight="true" outlineLevel="0" collapsed="false"/>
    <row r="454" customFormat="false" ht="24" hidden="false" customHeight="true" outlineLevel="0" collapsed="false"/>
    <row r="455" customFormat="false" ht="24" hidden="false" customHeight="true" outlineLevel="0" collapsed="false"/>
    <row r="456" customFormat="false" ht="24" hidden="false" customHeight="true" outlineLevel="0" collapsed="false"/>
    <row r="457" customFormat="false" ht="24" hidden="false" customHeight="true" outlineLevel="0" collapsed="false"/>
    <row r="458" customFormat="false" ht="24" hidden="false" customHeight="true" outlineLevel="0" collapsed="false"/>
    <row r="459" customFormat="false" ht="24" hidden="false" customHeight="true" outlineLevel="0" collapsed="false"/>
    <row r="460" customFormat="false" ht="24" hidden="false" customHeight="true" outlineLevel="0" collapsed="false"/>
    <row r="461" customFormat="false" ht="24" hidden="false" customHeight="true" outlineLevel="0" collapsed="false"/>
    <row r="462" customFormat="false" ht="24" hidden="false" customHeight="true" outlineLevel="0" collapsed="false"/>
    <row r="463" customFormat="false" ht="24" hidden="false" customHeight="true" outlineLevel="0" collapsed="false"/>
    <row r="464" customFormat="false" ht="24" hidden="false" customHeight="true" outlineLevel="0" collapsed="false"/>
    <row r="465" customFormat="false" ht="24" hidden="false" customHeight="true" outlineLevel="0" collapsed="false"/>
    <row r="466" customFormat="false" ht="24" hidden="false" customHeight="true" outlineLevel="0" collapsed="false"/>
    <row r="467" customFormat="false" ht="24" hidden="false" customHeight="true" outlineLevel="0" collapsed="false"/>
    <row r="468" customFormat="false" ht="24" hidden="false" customHeight="true" outlineLevel="0" collapsed="false"/>
    <row r="469" customFormat="false" ht="24" hidden="false" customHeight="true" outlineLevel="0" collapsed="false"/>
    <row r="470" customFormat="false" ht="24" hidden="false" customHeight="true" outlineLevel="0" collapsed="false"/>
    <row r="471" customFormat="false" ht="24" hidden="false" customHeight="true" outlineLevel="0" collapsed="false"/>
    <row r="472" customFormat="false" ht="24" hidden="false" customHeight="true" outlineLevel="0" collapsed="false"/>
    <row r="473" customFormat="false" ht="24" hidden="false" customHeight="true" outlineLevel="0" collapsed="false"/>
    <row r="474" customFormat="false" ht="24" hidden="false" customHeight="true" outlineLevel="0" collapsed="false"/>
    <row r="475" customFormat="false" ht="24" hidden="false" customHeight="true" outlineLevel="0" collapsed="false"/>
    <row r="476" customFormat="false" ht="24" hidden="false" customHeight="true" outlineLevel="0" collapsed="false"/>
    <row r="477" customFormat="false" ht="24" hidden="false" customHeight="true" outlineLevel="0" collapsed="false"/>
    <row r="478" customFormat="false" ht="24" hidden="false" customHeight="true" outlineLevel="0" collapsed="false"/>
    <row r="479" customFormat="false" ht="24" hidden="false" customHeight="true" outlineLevel="0" collapsed="false"/>
    <row r="480" customFormat="false" ht="24" hidden="false" customHeight="true" outlineLevel="0" collapsed="false"/>
    <row r="481" customFormat="false" ht="24" hidden="false" customHeight="true" outlineLevel="0" collapsed="false"/>
    <row r="482" customFormat="false" ht="24" hidden="false" customHeight="true" outlineLevel="0" collapsed="false"/>
    <row r="483" customFormat="false" ht="24" hidden="false" customHeight="true" outlineLevel="0" collapsed="false"/>
    <row r="484" customFormat="false" ht="24" hidden="false" customHeight="true" outlineLevel="0" collapsed="false"/>
    <row r="485" customFormat="false" ht="24" hidden="false" customHeight="true" outlineLevel="0" collapsed="false"/>
    <row r="486" customFormat="false" ht="24" hidden="false" customHeight="true" outlineLevel="0" collapsed="false"/>
    <row r="487" customFormat="false" ht="24" hidden="false" customHeight="true" outlineLevel="0" collapsed="false"/>
    <row r="488" customFormat="false" ht="24" hidden="false" customHeight="true" outlineLevel="0" collapsed="false"/>
    <row r="489" customFormat="false" ht="24" hidden="false" customHeight="true" outlineLevel="0" collapsed="false"/>
    <row r="490" customFormat="false" ht="24" hidden="false" customHeight="true" outlineLevel="0" collapsed="false"/>
    <row r="491" customFormat="false" ht="24" hidden="false" customHeight="true" outlineLevel="0" collapsed="false"/>
    <row r="492" customFormat="false" ht="24" hidden="false" customHeight="true" outlineLevel="0" collapsed="false"/>
    <row r="493" customFormat="false" ht="24" hidden="false" customHeight="true" outlineLevel="0" collapsed="false"/>
    <row r="494" customFormat="false" ht="24" hidden="false" customHeight="true" outlineLevel="0" collapsed="false"/>
    <row r="495" customFormat="false" ht="24" hidden="false" customHeight="true" outlineLevel="0" collapsed="false"/>
    <row r="496" customFormat="false" ht="24" hidden="false" customHeight="true" outlineLevel="0" collapsed="false"/>
    <row r="497" customFormat="false" ht="24" hidden="false" customHeight="true" outlineLevel="0" collapsed="false"/>
    <row r="498" customFormat="false" ht="24" hidden="false" customHeight="true" outlineLevel="0" collapsed="false"/>
    <row r="499" customFormat="false" ht="24" hidden="false" customHeight="true" outlineLevel="0" collapsed="false"/>
    <row r="500" customFormat="false" ht="24" hidden="false" customHeight="true" outlineLevel="0" collapsed="false"/>
    <row r="501" customFormat="false" ht="24" hidden="false" customHeight="true" outlineLevel="0" collapsed="false"/>
    <row r="502" customFormat="false" ht="24" hidden="false" customHeight="true" outlineLevel="0" collapsed="false"/>
    <row r="503" customFormat="false" ht="24" hidden="false" customHeight="true" outlineLevel="0" collapsed="false"/>
    <row r="504" customFormat="false" ht="24" hidden="false" customHeight="true" outlineLevel="0" collapsed="false"/>
    <row r="505" customFormat="false" ht="24" hidden="false" customHeight="true" outlineLevel="0" collapsed="false"/>
    <row r="506" customFormat="false" ht="24" hidden="false" customHeight="true" outlineLevel="0" collapsed="false"/>
    <row r="507" customFormat="false" ht="24" hidden="false" customHeight="true" outlineLevel="0" collapsed="false"/>
    <row r="508" customFormat="false" ht="24" hidden="false" customHeight="true" outlineLevel="0" collapsed="false"/>
    <row r="509" customFormat="false" ht="24" hidden="false" customHeight="true" outlineLevel="0" collapsed="false"/>
    <row r="510" customFormat="false" ht="24" hidden="false" customHeight="true" outlineLevel="0" collapsed="false"/>
    <row r="511" customFormat="false" ht="24" hidden="false" customHeight="true" outlineLevel="0" collapsed="false"/>
    <row r="512" customFormat="false" ht="24" hidden="false" customHeight="true" outlineLevel="0" collapsed="false"/>
    <row r="513" customFormat="false" ht="24" hidden="false" customHeight="true" outlineLevel="0" collapsed="false"/>
    <row r="514" customFormat="false" ht="24" hidden="false" customHeight="true" outlineLevel="0" collapsed="false"/>
    <row r="515" customFormat="false" ht="24" hidden="false" customHeight="true" outlineLevel="0" collapsed="false"/>
    <row r="516" customFormat="false" ht="24" hidden="false" customHeight="true" outlineLevel="0" collapsed="false"/>
    <row r="517" customFormat="false" ht="24" hidden="false" customHeight="true" outlineLevel="0" collapsed="false"/>
    <row r="518" customFormat="false" ht="24" hidden="false" customHeight="true" outlineLevel="0" collapsed="false"/>
    <row r="519" customFormat="false" ht="24" hidden="false" customHeight="true" outlineLevel="0" collapsed="false"/>
    <row r="520" customFormat="false" ht="24" hidden="false" customHeight="true" outlineLevel="0" collapsed="false"/>
    <row r="521" customFormat="false" ht="24" hidden="false" customHeight="true" outlineLevel="0" collapsed="false"/>
    <row r="522" customFormat="false" ht="24" hidden="false" customHeight="true" outlineLevel="0" collapsed="false"/>
    <row r="523" customFormat="false" ht="24" hidden="false" customHeight="true" outlineLevel="0" collapsed="false"/>
    <row r="524" customFormat="false" ht="24" hidden="false" customHeight="true" outlineLevel="0" collapsed="false"/>
    <row r="525" customFormat="false" ht="24" hidden="false" customHeight="true" outlineLevel="0" collapsed="false"/>
    <row r="526" customFormat="false" ht="24" hidden="false" customHeight="true" outlineLevel="0" collapsed="false"/>
    <row r="527" customFormat="false" ht="24" hidden="false" customHeight="true" outlineLevel="0" collapsed="false"/>
    <row r="528" customFormat="false" ht="24" hidden="false" customHeight="true" outlineLevel="0" collapsed="false"/>
    <row r="529" customFormat="false" ht="24" hidden="false" customHeight="true" outlineLevel="0" collapsed="false"/>
    <row r="530" customFormat="false" ht="24" hidden="false" customHeight="true" outlineLevel="0" collapsed="false"/>
    <row r="531" customFormat="false" ht="24" hidden="false" customHeight="true" outlineLevel="0" collapsed="false"/>
    <row r="532" customFormat="false" ht="24" hidden="false" customHeight="true" outlineLevel="0" collapsed="false"/>
    <row r="533" customFormat="false" ht="24" hidden="false" customHeight="true" outlineLevel="0" collapsed="false"/>
    <row r="534" customFormat="false" ht="24" hidden="false" customHeight="true" outlineLevel="0" collapsed="false"/>
    <row r="535" customFormat="false" ht="24" hidden="false" customHeight="true" outlineLevel="0" collapsed="false"/>
    <row r="536" customFormat="false" ht="24" hidden="false" customHeight="true" outlineLevel="0" collapsed="false"/>
    <row r="537" customFormat="false" ht="24" hidden="false" customHeight="true" outlineLevel="0" collapsed="false"/>
    <row r="538" customFormat="false" ht="24" hidden="false" customHeight="true" outlineLevel="0" collapsed="false"/>
    <row r="539" customFormat="false" ht="24" hidden="false" customHeight="true" outlineLevel="0" collapsed="false"/>
    <row r="540" customFormat="false" ht="24" hidden="false" customHeight="true" outlineLevel="0" collapsed="false"/>
    <row r="541" customFormat="false" ht="24" hidden="false" customHeight="true" outlineLevel="0" collapsed="false"/>
    <row r="542" customFormat="false" ht="24" hidden="false" customHeight="true" outlineLevel="0" collapsed="false"/>
    <row r="543" customFormat="false" ht="24" hidden="false" customHeight="true" outlineLevel="0" collapsed="false"/>
    <row r="544" customFormat="false" ht="24" hidden="false" customHeight="true" outlineLevel="0" collapsed="false"/>
    <row r="545" customFormat="false" ht="24" hidden="false" customHeight="true" outlineLevel="0" collapsed="false"/>
    <row r="546" customFormat="false" ht="24" hidden="false" customHeight="true" outlineLevel="0" collapsed="false"/>
    <row r="547" customFormat="false" ht="24" hidden="false" customHeight="true" outlineLevel="0" collapsed="false"/>
    <row r="548" customFormat="false" ht="24" hidden="false" customHeight="true" outlineLevel="0" collapsed="false"/>
    <row r="549" customFormat="false" ht="24" hidden="false" customHeight="true" outlineLevel="0" collapsed="false"/>
    <row r="550" customFormat="false" ht="24" hidden="false" customHeight="true" outlineLevel="0" collapsed="false"/>
    <row r="551" customFormat="false" ht="24" hidden="false" customHeight="true" outlineLevel="0" collapsed="false"/>
    <row r="552" customFormat="false" ht="24" hidden="false" customHeight="true" outlineLevel="0" collapsed="false"/>
    <row r="553" customFormat="false" ht="24" hidden="false" customHeight="true" outlineLevel="0" collapsed="false"/>
    <row r="554" customFormat="false" ht="24" hidden="false" customHeight="true" outlineLevel="0" collapsed="false"/>
    <row r="555" customFormat="false" ht="24" hidden="false" customHeight="true" outlineLevel="0" collapsed="false"/>
    <row r="556" customFormat="false" ht="24" hidden="false" customHeight="true" outlineLevel="0" collapsed="false"/>
    <row r="557" customFormat="false" ht="24" hidden="false" customHeight="true" outlineLevel="0" collapsed="false"/>
    <row r="558" customFormat="false" ht="24" hidden="false" customHeight="true" outlineLevel="0" collapsed="false"/>
    <row r="559" customFormat="false" ht="24" hidden="false" customHeight="true" outlineLevel="0" collapsed="false"/>
    <row r="560" customFormat="false" ht="24" hidden="false" customHeight="true" outlineLevel="0" collapsed="false"/>
    <row r="561" customFormat="false" ht="24" hidden="false" customHeight="true" outlineLevel="0" collapsed="false"/>
    <row r="562" customFormat="false" ht="24" hidden="false" customHeight="true" outlineLevel="0" collapsed="false"/>
    <row r="563" customFormat="false" ht="24" hidden="false" customHeight="true" outlineLevel="0" collapsed="false"/>
    <row r="564" customFormat="false" ht="24" hidden="false" customHeight="true" outlineLevel="0" collapsed="false"/>
    <row r="565" customFormat="false" ht="24" hidden="false" customHeight="true" outlineLevel="0" collapsed="false"/>
    <row r="566" customFormat="false" ht="24" hidden="false" customHeight="true" outlineLevel="0" collapsed="false"/>
    <row r="567" customFormat="false" ht="24" hidden="false" customHeight="true" outlineLevel="0" collapsed="false"/>
    <row r="568" customFormat="false" ht="24" hidden="false" customHeight="true" outlineLevel="0" collapsed="false"/>
    <row r="569" customFormat="false" ht="24" hidden="false" customHeight="true" outlineLevel="0" collapsed="false"/>
    <row r="570" customFormat="false" ht="24" hidden="false" customHeight="true" outlineLevel="0" collapsed="false"/>
    <row r="571" customFormat="false" ht="24" hidden="false" customHeight="true" outlineLevel="0" collapsed="false"/>
    <row r="572" customFormat="false" ht="24" hidden="false" customHeight="true" outlineLevel="0" collapsed="false"/>
    <row r="573" customFormat="false" ht="24" hidden="false" customHeight="true" outlineLevel="0" collapsed="false"/>
    <row r="574" customFormat="false" ht="24" hidden="false" customHeight="true" outlineLevel="0" collapsed="false"/>
    <row r="575" customFormat="false" ht="24" hidden="false" customHeight="true" outlineLevel="0" collapsed="false"/>
    <row r="576" customFormat="false" ht="24" hidden="false" customHeight="true" outlineLevel="0" collapsed="false"/>
    <row r="577" customFormat="false" ht="24" hidden="false" customHeight="true" outlineLevel="0" collapsed="false"/>
    <row r="578" customFormat="false" ht="24" hidden="false" customHeight="true" outlineLevel="0" collapsed="false"/>
    <row r="579" customFormat="false" ht="24" hidden="false" customHeight="true" outlineLevel="0" collapsed="false"/>
    <row r="580" customFormat="false" ht="24" hidden="false" customHeight="true" outlineLevel="0" collapsed="false"/>
    <row r="581" customFormat="false" ht="24" hidden="false" customHeight="true" outlineLevel="0" collapsed="false"/>
    <row r="582" customFormat="false" ht="24" hidden="false" customHeight="true" outlineLevel="0" collapsed="false"/>
    <row r="583" customFormat="false" ht="24" hidden="false" customHeight="true" outlineLevel="0" collapsed="false"/>
    <row r="584" customFormat="false" ht="24" hidden="false" customHeight="true" outlineLevel="0" collapsed="false"/>
    <row r="585" customFormat="false" ht="24" hidden="false" customHeight="true" outlineLevel="0" collapsed="false"/>
    <row r="586" customFormat="false" ht="24" hidden="false" customHeight="true" outlineLevel="0" collapsed="false"/>
    <row r="587" customFormat="false" ht="24" hidden="false" customHeight="true" outlineLevel="0" collapsed="false"/>
    <row r="588" customFormat="false" ht="24" hidden="false" customHeight="true" outlineLevel="0" collapsed="false"/>
    <row r="589" customFormat="false" ht="24" hidden="false" customHeight="true" outlineLevel="0" collapsed="false"/>
    <row r="590" customFormat="false" ht="24" hidden="false" customHeight="true" outlineLevel="0" collapsed="false"/>
    <row r="591" customFormat="false" ht="24" hidden="false" customHeight="true" outlineLevel="0" collapsed="false"/>
    <row r="592" customFormat="false" ht="24" hidden="false" customHeight="true" outlineLevel="0" collapsed="false"/>
    <row r="593" customFormat="false" ht="24" hidden="false" customHeight="true" outlineLevel="0" collapsed="false"/>
    <row r="594" customFormat="false" ht="24" hidden="false" customHeight="true" outlineLevel="0" collapsed="false"/>
    <row r="595" customFormat="false" ht="24" hidden="false" customHeight="true" outlineLevel="0" collapsed="false"/>
    <row r="596" customFormat="false" ht="24" hidden="false" customHeight="true" outlineLevel="0" collapsed="false"/>
    <row r="597" customFormat="false" ht="24" hidden="false" customHeight="true" outlineLevel="0" collapsed="false"/>
    <row r="598" customFormat="false" ht="24" hidden="false" customHeight="true" outlineLevel="0" collapsed="false"/>
    <row r="599" customFormat="false" ht="24" hidden="false" customHeight="true" outlineLevel="0" collapsed="false"/>
    <row r="600" customFormat="false" ht="24" hidden="false" customHeight="true" outlineLevel="0" collapsed="false"/>
    <row r="601" customFormat="false" ht="24" hidden="false" customHeight="true" outlineLevel="0" collapsed="false"/>
    <row r="602" customFormat="false" ht="24" hidden="false" customHeight="true" outlineLevel="0" collapsed="false"/>
    <row r="603" customFormat="false" ht="24" hidden="false" customHeight="true" outlineLevel="0" collapsed="false"/>
    <row r="604" customFormat="false" ht="24" hidden="false" customHeight="true" outlineLevel="0" collapsed="false"/>
    <row r="605" customFormat="false" ht="24" hidden="false" customHeight="true" outlineLevel="0" collapsed="false"/>
    <row r="606" customFormat="false" ht="24" hidden="false" customHeight="true" outlineLevel="0" collapsed="false"/>
    <row r="607" customFormat="false" ht="24" hidden="false" customHeight="true" outlineLevel="0" collapsed="false"/>
    <row r="608" customFormat="false" ht="24" hidden="false" customHeight="true" outlineLevel="0" collapsed="false"/>
    <row r="609" customFormat="false" ht="24" hidden="false" customHeight="true" outlineLevel="0" collapsed="false"/>
    <row r="610" customFormat="false" ht="24" hidden="false" customHeight="true" outlineLevel="0" collapsed="false"/>
    <row r="611" customFormat="false" ht="24" hidden="false" customHeight="true" outlineLevel="0" collapsed="false"/>
    <row r="612" customFormat="false" ht="24" hidden="false" customHeight="true" outlineLevel="0" collapsed="false"/>
    <row r="613" customFormat="false" ht="24" hidden="false" customHeight="true" outlineLevel="0" collapsed="false"/>
    <row r="614" customFormat="false" ht="24" hidden="false" customHeight="true" outlineLevel="0" collapsed="false"/>
    <row r="615" customFormat="false" ht="24" hidden="false" customHeight="true" outlineLevel="0" collapsed="false"/>
    <row r="616" customFormat="false" ht="24" hidden="false" customHeight="true" outlineLevel="0" collapsed="false"/>
    <row r="617" customFormat="false" ht="24" hidden="false" customHeight="true" outlineLevel="0" collapsed="false"/>
    <row r="618" customFormat="false" ht="24" hidden="false" customHeight="true" outlineLevel="0" collapsed="false"/>
    <row r="619" customFormat="false" ht="24" hidden="false" customHeight="true" outlineLevel="0" collapsed="false"/>
    <row r="620" customFormat="false" ht="24" hidden="false" customHeight="true" outlineLevel="0" collapsed="false"/>
    <row r="621" customFormat="false" ht="24" hidden="false" customHeight="true" outlineLevel="0" collapsed="false"/>
    <row r="622" customFormat="false" ht="24" hidden="false" customHeight="true" outlineLevel="0" collapsed="false"/>
    <row r="623" customFormat="false" ht="24" hidden="false" customHeight="true" outlineLevel="0" collapsed="false"/>
    <row r="624" customFormat="false" ht="24" hidden="false" customHeight="true" outlineLevel="0" collapsed="false"/>
    <row r="625" customFormat="false" ht="24" hidden="false" customHeight="true" outlineLevel="0" collapsed="false"/>
    <row r="626" customFormat="false" ht="24" hidden="false" customHeight="true" outlineLevel="0" collapsed="false"/>
    <row r="627" customFormat="false" ht="24" hidden="false" customHeight="true" outlineLevel="0" collapsed="false"/>
    <row r="628" customFormat="false" ht="24" hidden="false" customHeight="true" outlineLevel="0" collapsed="false"/>
    <row r="629" customFormat="false" ht="24" hidden="false" customHeight="true" outlineLevel="0" collapsed="false"/>
    <row r="630" customFormat="false" ht="24" hidden="false" customHeight="true" outlineLevel="0" collapsed="false"/>
    <row r="631" customFormat="false" ht="24" hidden="false" customHeight="true" outlineLevel="0" collapsed="false"/>
    <row r="632" customFormat="false" ht="24" hidden="false" customHeight="true" outlineLevel="0" collapsed="false"/>
    <row r="633" customFormat="false" ht="24" hidden="false" customHeight="true" outlineLevel="0" collapsed="false"/>
    <row r="634" customFormat="false" ht="24" hidden="false" customHeight="true" outlineLevel="0" collapsed="false"/>
    <row r="635" customFormat="false" ht="24" hidden="false" customHeight="true" outlineLevel="0" collapsed="false"/>
    <row r="636" customFormat="false" ht="24" hidden="false" customHeight="true" outlineLevel="0" collapsed="false"/>
    <row r="637" customFormat="false" ht="24" hidden="false" customHeight="true" outlineLevel="0" collapsed="false"/>
    <row r="638" customFormat="false" ht="24" hidden="false" customHeight="true" outlineLevel="0" collapsed="false"/>
    <row r="639" customFormat="false" ht="24" hidden="false" customHeight="true" outlineLevel="0" collapsed="false"/>
    <row r="640" customFormat="false" ht="24" hidden="false" customHeight="true" outlineLevel="0" collapsed="false"/>
    <row r="641" customFormat="false" ht="24" hidden="false" customHeight="true" outlineLevel="0" collapsed="false"/>
    <row r="642" customFormat="false" ht="24" hidden="false" customHeight="true" outlineLevel="0" collapsed="false"/>
    <row r="643" customFormat="false" ht="24" hidden="false" customHeight="true" outlineLevel="0" collapsed="false"/>
    <row r="644" customFormat="false" ht="24" hidden="false" customHeight="true" outlineLevel="0" collapsed="false"/>
    <row r="645" customFormat="false" ht="24" hidden="false" customHeight="true" outlineLevel="0" collapsed="false"/>
    <row r="646" customFormat="false" ht="24" hidden="false" customHeight="true" outlineLevel="0" collapsed="false"/>
    <row r="647" customFormat="false" ht="24" hidden="false" customHeight="true" outlineLevel="0" collapsed="false"/>
    <row r="648" customFormat="false" ht="24" hidden="false" customHeight="true" outlineLevel="0" collapsed="false"/>
    <row r="649" customFormat="false" ht="24" hidden="false" customHeight="true" outlineLevel="0" collapsed="false"/>
    <row r="650" customFormat="false" ht="24" hidden="false" customHeight="true" outlineLevel="0" collapsed="false"/>
    <row r="651" customFormat="false" ht="24" hidden="false" customHeight="true" outlineLevel="0" collapsed="false"/>
    <row r="652" customFormat="false" ht="24" hidden="false" customHeight="true" outlineLevel="0" collapsed="false"/>
    <row r="653" customFormat="false" ht="24" hidden="false" customHeight="true" outlineLevel="0" collapsed="false"/>
    <row r="654" customFormat="false" ht="24" hidden="false" customHeight="true" outlineLevel="0" collapsed="false"/>
    <row r="655" customFormat="false" ht="24" hidden="false" customHeight="true" outlineLevel="0" collapsed="false"/>
    <row r="656" customFormat="false" ht="24" hidden="false" customHeight="true" outlineLevel="0" collapsed="false"/>
    <row r="657" customFormat="false" ht="24" hidden="false" customHeight="true" outlineLevel="0" collapsed="false"/>
    <row r="658" customFormat="false" ht="24" hidden="false" customHeight="true" outlineLevel="0" collapsed="false"/>
    <row r="659" customFormat="false" ht="24" hidden="false" customHeight="true" outlineLevel="0" collapsed="false"/>
    <row r="660" customFormat="false" ht="24" hidden="false" customHeight="true" outlineLevel="0" collapsed="false"/>
    <row r="661" customFormat="false" ht="24" hidden="false" customHeight="true" outlineLevel="0" collapsed="false"/>
    <row r="662" customFormat="false" ht="24" hidden="false" customHeight="true" outlineLevel="0" collapsed="false"/>
    <row r="663" customFormat="false" ht="24" hidden="false" customHeight="true" outlineLevel="0" collapsed="false"/>
    <row r="664" customFormat="false" ht="24" hidden="false" customHeight="true" outlineLevel="0" collapsed="false"/>
    <row r="665" customFormat="false" ht="24" hidden="false" customHeight="true" outlineLevel="0" collapsed="false"/>
    <row r="666" customFormat="false" ht="24" hidden="false" customHeight="true" outlineLevel="0" collapsed="false"/>
    <row r="667" customFormat="false" ht="24" hidden="false" customHeight="true" outlineLevel="0" collapsed="false"/>
    <row r="668" customFormat="false" ht="24" hidden="false" customHeight="true" outlineLevel="0" collapsed="false"/>
    <row r="669" customFormat="false" ht="24" hidden="false" customHeight="true" outlineLevel="0" collapsed="false"/>
    <row r="670" customFormat="false" ht="24" hidden="false" customHeight="true" outlineLevel="0" collapsed="false"/>
    <row r="671" customFormat="false" ht="24" hidden="false" customHeight="true" outlineLevel="0" collapsed="false"/>
    <row r="672" customFormat="false" ht="24" hidden="false" customHeight="true" outlineLevel="0" collapsed="false"/>
    <row r="673" customFormat="false" ht="24" hidden="false" customHeight="true" outlineLevel="0" collapsed="false"/>
    <row r="674" customFormat="false" ht="24" hidden="false" customHeight="true" outlineLevel="0" collapsed="false"/>
    <row r="675" customFormat="false" ht="24" hidden="false" customHeight="true" outlineLevel="0" collapsed="false"/>
    <row r="676" customFormat="false" ht="24" hidden="false" customHeight="true" outlineLevel="0" collapsed="false"/>
    <row r="677" customFormat="false" ht="24" hidden="false" customHeight="true" outlineLevel="0" collapsed="false"/>
    <row r="678" customFormat="false" ht="24" hidden="false" customHeight="true" outlineLevel="0" collapsed="false"/>
    <row r="679" customFormat="false" ht="24" hidden="false" customHeight="true" outlineLevel="0" collapsed="false"/>
    <row r="680" customFormat="false" ht="24" hidden="false" customHeight="true" outlineLevel="0" collapsed="false"/>
    <row r="681" customFormat="false" ht="24" hidden="false" customHeight="true" outlineLevel="0" collapsed="false"/>
    <row r="682" customFormat="false" ht="24" hidden="false" customHeight="true" outlineLevel="0" collapsed="false"/>
    <row r="683" customFormat="false" ht="24" hidden="false" customHeight="true" outlineLevel="0" collapsed="false"/>
    <row r="684" customFormat="false" ht="24" hidden="false" customHeight="true" outlineLevel="0" collapsed="false"/>
    <row r="685" customFormat="false" ht="24" hidden="false" customHeight="true" outlineLevel="0" collapsed="false"/>
    <row r="686" customFormat="false" ht="24" hidden="false" customHeight="true" outlineLevel="0" collapsed="false"/>
    <row r="687" customFormat="false" ht="24" hidden="false" customHeight="true" outlineLevel="0" collapsed="false"/>
    <row r="688" customFormat="false" ht="24" hidden="false" customHeight="true" outlineLevel="0" collapsed="false"/>
    <row r="689" customFormat="false" ht="24" hidden="false" customHeight="true" outlineLevel="0" collapsed="false"/>
    <row r="690" customFormat="false" ht="24" hidden="false" customHeight="true" outlineLevel="0" collapsed="false"/>
    <row r="691" customFormat="false" ht="24" hidden="false" customHeight="true" outlineLevel="0" collapsed="false"/>
    <row r="692" customFormat="false" ht="24" hidden="false" customHeight="true" outlineLevel="0" collapsed="false"/>
    <row r="693" customFormat="false" ht="24" hidden="false" customHeight="true" outlineLevel="0" collapsed="false"/>
    <row r="694" customFormat="false" ht="24" hidden="false" customHeight="true" outlineLevel="0" collapsed="false"/>
    <row r="695" customFormat="false" ht="24" hidden="false" customHeight="true" outlineLevel="0" collapsed="false"/>
    <row r="696" customFormat="false" ht="24" hidden="false" customHeight="true" outlineLevel="0" collapsed="false"/>
    <row r="697" customFormat="false" ht="24" hidden="false" customHeight="true" outlineLevel="0" collapsed="false"/>
    <row r="698" customFormat="false" ht="24" hidden="false" customHeight="true" outlineLevel="0" collapsed="false"/>
    <row r="699" customFormat="false" ht="24" hidden="false" customHeight="true" outlineLevel="0" collapsed="false"/>
    <row r="700" customFormat="false" ht="24" hidden="false" customHeight="true" outlineLevel="0" collapsed="false"/>
    <row r="701" customFormat="false" ht="24" hidden="false" customHeight="true" outlineLevel="0" collapsed="false"/>
    <row r="702" customFormat="false" ht="24" hidden="false" customHeight="true" outlineLevel="0" collapsed="false"/>
    <row r="703" customFormat="false" ht="24" hidden="false" customHeight="true" outlineLevel="0" collapsed="false"/>
    <row r="704" customFormat="false" ht="24" hidden="false" customHeight="true" outlineLevel="0" collapsed="false"/>
    <row r="705" customFormat="false" ht="24" hidden="false" customHeight="true" outlineLevel="0" collapsed="false"/>
    <row r="706" customFormat="false" ht="24" hidden="false" customHeight="true" outlineLevel="0" collapsed="false"/>
    <row r="707" customFormat="false" ht="24" hidden="false" customHeight="true" outlineLevel="0" collapsed="false"/>
    <row r="708" customFormat="false" ht="24" hidden="false" customHeight="true" outlineLevel="0" collapsed="false"/>
    <row r="709" customFormat="false" ht="24" hidden="false" customHeight="true" outlineLevel="0" collapsed="false"/>
    <row r="710" customFormat="false" ht="24" hidden="false" customHeight="true" outlineLevel="0" collapsed="false"/>
    <row r="711" customFormat="false" ht="24" hidden="false" customHeight="true" outlineLevel="0" collapsed="false"/>
    <row r="712" customFormat="false" ht="24" hidden="false" customHeight="true" outlineLevel="0" collapsed="false"/>
    <row r="713" customFormat="false" ht="24" hidden="false" customHeight="true" outlineLevel="0" collapsed="false"/>
    <row r="714" customFormat="false" ht="24" hidden="false" customHeight="true" outlineLevel="0" collapsed="false"/>
    <row r="715" customFormat="false" ht="24" hidden="false" customHeight="true" outlineLevel="0" collapsed="false"/>
    <row r="716" customFormat="false" ht="24" hidden="false" customHeight="true" outlineLevel="0" collapsed="false"/>
    <row r="717" customFormat="false" ht="24" hidden="false" customHeight="true" outlineLevel="0" collapsed="false"/>
    <row r="718" customFormat="false" ht="24" hidden="false" customHeight="true" outlineLevel="0" collapsed="false"/>
    <row r="719" customFormat="false" ht="24" hidden="false" customHeight="true" outlineLevel="0" collapsed="false"/>
    <row r="720" customFormat="false" ht="24" hidden="false" customHeight="true" outlineLevel="0" collapsed="false"/>
    <row r="721" customFormat="false" ht="24" hidden="false" customHeight="true" outlineLevel="0" collapsed="false"/>
    <row r="722" customFormat="false" ht="24" hidden="false" customHeight="true" outlineLevel="0" collapsed="false"/>
    <row r="723" customFormat="false" ht="24" hidden="false" customHeight="true" outlineLevel="0" collapsed="false"/>
    <row r="724" customFormat="false" ht="24" hidden="false" customHeight="true" outlineLevel="0" collapsed="false"/>
    <row r="725" customFormat="false" ht="24" hidden="false" customHeight="true" outlineLevel="0" collapsed="false"/>
    <row r="726" customFormat="false" ht="24" hidden="false" customHeight="true" outlineLevel="0" collapsed="false"/>
    <row r="727" customFormat="false" ht="24" hidden="false" customHeight="true" outlineLevel="0" collapsed="false"/>
    <row r="728" customFormat="false" ht="24" hidden="false" customHeight="true" outlineLevel="0" collapsed="false"/>
    <row r="729" customFormat="false" ht="24" hidden="false" customHeight="true" outlineLevel="0" collapsed="false"/>
    <row r="730" customFormat="false" ht="24" hidden="false" customHeight="true" outlineLevel="0" collapsed="false"/>
    <row r="731" customFormat="false" ht="24" hidden="false" customHeight="true" outlineLevel="0" collapsed="false"/>
    <row r="732" customFormat="false" ht="24" hidden="false" customHeight="true" outlineLevel="0" collapsed="false"/>
    <row r="733" customFormat="false" ht="24" hidden="false" customHeight="true" outlineLevel="0" collapsed="false"/>
    <row r="734" customFormat="false" ht="24" hidden="false" customHeight="true" outlineLevel="0" collapsed="false"/>
    <row r="735" customFormat="false" ht="24" hidden="false" customHeight="true" outlineLevel="0" collapsed="false"/>
    <row r="736" customFormat="false" ht="24" hidden="false" customHeight="true" outlineLevel="0" collapsed="false"/>
    <row r="737" customFormat="false" ht="24" hidden="false" customHeight="true" outlineLevel="0" collapsed="false"/>
    <row r="738" customFormat="false" ht="24" hidden="false" customHeight="true" outlineLevel="0" collapsed="false"/>
    <row r="739" customFormat="false" ht="24" hidden="false" customHeight="true" outlineLevel="0" collapsed="false"/>
    <row r="740" customFormat="false" ht="24" hidden="false" customHeight="true" outlineLevel="0" collapsed="false"/>
    <row r="741" customFormat="false" ht="24" hidden="false" customHeight="true" outlineLevel="0" collapsed="false"/>
    <row r="742" customFormat="false" ht="24" hidden="false" customHeight="true" outlineLevel="0" collapsed="false"/>
    <row r="743" customFormat="false" ht="24" hidden="false" customHeight="true" outlineLevel="0" collapsed="false"/>
    <row r="744" customFormat="false" ht="24" hidden="false" customHeight="true" outlineLevel="0" collapsed="false"/>
    <row r="745" customFormat="false" ht="24" hidden="false" customHeight="true" outlineLevel="0" collapsed="false"/>
    <row r="746" customFormat="false" ht="24" hidden="false" customHeight="true" outlineLevel="0" collapsed="false"/>
    <row r="747" customFormat="false" ht="24" hidden="false" customHeight="true" outlineLevel="0" collapsed="false"/>
    <row r="748" customFormat="false" ht="24" hidden="false" customHeight="true" outlineLevel="0" collapsed="false"/>
    <row r="749" customFormat="false" ht="24" hidden="false" customHeight="true" outlineLevel="0" collapsed="false"/>
    <row r="750" customFormat="false" ht="24" hidden="false" customHeight="true" outlineLevel="0" collapsed="false"/>
    <row r="751" customFormat="false" ht="24" hidden="false" customHeight="true" outlineLevel="0" collapsed="false"/>
    <row r="752" customFormat="false" ht="24" hidden="false" customHeight="true" outlineLevel="0" collapsed="false"/>
    <row r="753" customFormat="false" ht="24" hidden="false" customHeight="true" outlineLevel="0" collapsed="false"/>
    <row r="754" customFormat="false" ht="24" hidden="false" customHeight="true" outlineLevel="0" collapsed="false"/>
    <row r="755" customFormat="false" ht="24" hidden="false" customHeight="true" outlineLevel="0" collapsed="false"/>
    <row r="756" customFormat="false" ht="24" hidden="false" customHeight="true" outlineLevel="0" collapsed="false"/>
    <row r="757" customFormat="false" ht="24" hidden="false" customHeight="true" outlineLevel="0" collapsed="false"/>
    <row r="758" customFormat="false" ht="24" hidden="false" customHeight="true" outlineLevel="0" collapsed="false"/>
    <row r="759" customFormat="false" ht="24" hidden="false" customHeight="true" outlineLevel="0" collapsed="false"/>
    <row r="760" customFormat="false" ht="24" hidden="false" customHeight="true" outlineLevel="0" collapsed="false"/>
    <row r="761" customFormat="false" ht="24" hidden="false" customHeight="true" outlineLevel="0" collapsed="false"/>
    <row r="762" customFormat="false" ht="24" hidden="false" customHeight="true" outlineLevel="0" collapsed="false"/>
    <row r="763" customFormat="false" ht="24" hidden="false" customHeight="true" outlineLevel="0" collapsed="false"/>
    <row r="764" customFormat="false" ht="24" hidden="false" customHeight="true" outlineLevel="0" collapsed="false"/>
    <row r="765" customFormat="false" ht="24" hidden="false" customHeight="true" outlineLevel="0" collapsed="false"/>
    <row r="766" customFormat="false" ht="24" hidden="false" customHeight="true" outlineLevel="0" collapsed="false"/>
    <row r="767" customFormat="false" ht="24" hidden="false" customHeight="true" outlineLevel="0" collapsed="false"/>
    <row r="768" customFormat="false" ht="24" hidden="false" customHeight="true" outlineLevel="0" collapsed="false"/>
    <row r="769" customFormat="false" ht="24" hidden="false" customHeight="true" outlineLevel="0" collapsed="false"/>
    <row r="770" customFormat="false" ht="24" hidden="false" customHeight="true" outlineLevel="0" collapsed="false"/>
    <row r="771" customFormat="false" ht="24" hidden="false" customHeight="true" outlineLevel="0" collapsed="false"/>
    <row r="772" customFormat="false" ht="24" hidden="false" customHeight="true" outlineLevel="0" collapsed="false"/>
    <row r="773" customFormat="false" ht="24" hidden="false" customHeight="true" outlineLevel="0" collapsed="false"/>
    <row r="774" customFormat="false" ht="24" hidden="false" customHeight="true" outlineLevel="0" collapsed="false"/>
    <row r="775" customFormat="false" ht="24" hidden="false" customHeight="true" outlineLevel="0" collapsed="false"/>
    <row r="776" customFormat="false" ht="24" hidden="false" customHeight="true" outlineLevel="0" collapsed="false"/>
    <row r="777" customFormat="false" ht="24" hidden="false" customHeight="true" outlineLevel="0" collapsed="false"/>
    <row r="778" customFormat="false" ht="24" hidden="false" customHeight="true" outlineLevel="0" collapsed="false"/>
    <row r="779" customFormat="false" ht="24" hidden="false" customHeight="true" outlineLevel="0" collapsed="false"/>
    <row r="780" customFormat="false" ht="24" hidden="false" customHeight="true" outlineLevel="0" collapsed="false"/>
    <row r="781" customFormat="false" ht="24" hidden="false" customHeight="true" outlineLevel="0" collapsed="false"/>
    <row r="782" customFormat="false" ht="24" hidden="false" customHeight="true" outlineLevel="0" collapsed="false"/>
    <row r="783" customFormat="false" ht="24" hidden="false" customHeight="true" outlineLevel="0" collapsed="false"/>
    <row r="784" customFormat="false" ht="24" hidden="false" customHeight="true" outlineLevel="0" collapsed="false"/>
    <row r="785" customFormat="false" ht="24" hidden="false" customHeight="true" outlineLevel="0" collapsed="false"/>
    <row r="786" customFormat="false" ht="24" hidden="false" customHeight="true" outlineLevel="0" collapsed="false"/>
    <row r="787" customFormat="false" ht="24" hidden="false" customHeight="true" outlineLevel="0" collapsed="false"/>
    <row r="788" customFormat="false" ht="24" hidden="false" customHeight="true" outlineLevel="0" collapsed="false"/>
    <row r="789" customFormat="false" ht="24" hidden="false" customHeight="true" outlineLevel="0" collapsed="false"/>
    <row r="790" customFormat="false" ht="24" hidden="false" customHeight="true" outlineLevel="0" collapsed="false"/>
    <row r="791" customFormat="false" ht="24" hidden="false" customHeight="true" outlineLevel="0" collapsed="false"/>
    <row r="792" customFormat="false" ht="24" hidden="false" customHeight="true" outlineLevel="0" collapsed="false"/>
    <row r="793" customFormat="false" ht="24" hidden="false" customHeight="true" outlineLevel="0" collapsed="false"/>
    <row r="794" customFormat="false" ht="24" hidden="false" customHeight="true" outlineLevel="0" collapsed="false"/>
    <row r="795" customFormat="false" ht="24" hidden="false" customHeight="true" outlineLevel="0" collapsed="false"/>
    <row r="796" customFormat="false" ht="24" hidden="false" customHeight="true" outlineLevel="0" collapsed="false"/>
    <row r="797" customFormat="false" ht="24" hidden="false" customHeight="true" outlineLevel="0" collapsed="false"/>
    <row r="798" customFormat="false" ht="24" hidden="false" customHeight="true" outlineLevel="0" collapsed="false"/>
    <row r="799" customFormat="false" ht="24" hidden="false" customHeight="true" outlineLevel="0" collapsed="false"/>
    <row r="800" customFormat="false" ht="24" hidden="false" customHeight="true" outlineLevel="0" collapsed="false"/>
    <row r="801" customFormat="false" ht="24" hidden="false" customHeight="true" outlineLevel="0" collapsed="false"/>
    <row r="802" customFormat="false" ht="24" hidden="false" customHeight="true" outlineLevel="0" collapsed="false"/>
    <row r="803" customFormat="false" ht="24" hidden="false" customHeight="true" outlineLevel="0" collapsed="false"/>
    <row r="804" customFormat="false" ht="24" hidden="false" customHeight="true" outlineLevel="0" collapsed="false"/>
    <row r="805" customFormat="false" ht="24" hidden="false" customHeight="true" outlineLevel="0" collapsed="false"/>
    <row r="806" customFormat="false" ht="24" hidden="false" customHeight="true" outlineLevel="0" collapsed="false"/>
    <row r="807" customFormat="false" ht="24" hidden="false" customHeight="true" outlineLevel="0" collapsed="false"/>
    <row r="808" customFormat="false" ht="24" hidden="false" customHeight="true" outlineLevel="0" collapsed="false"/>
    <row r="809" customFormat="false" ht="24" hidden="false" customHeight="true" outlineLevel="0" collapsed="false"/>
    <row r="810" customFormat="false" ht="24" hidden="false" customHeight="true" outlineLevel="0" collapsed="false"/>
    <row r="811" customFormat="false" ht="24" hidden="false" customHeight="true" outlineLevel="0" collapsed="false"/>
    <row r="812" customFormat="false" ht="24" hidden="false" customHeight="true" outlineLevel="0" collapsed="false"/>
    <row r="813" customFormat="false" ht="24" hidden="false" customHeight="true" outlineLevel="0" collapsed="false"/>
    <row r="814" customFormat="false" ht="24" hidden="false" customHeight="true" outlineLevel="0" collapsed="false"/>
    <row r="815" customFormat="false" ht="24" hidden="false" customHeight="true" outlineLevel="0" collapsed="false"/>
    <row r="816" customFormat="false" ht="24" hidden="false" customHeight="true" outlineLevel="0" collapsed="false"/>
    <row r="817" customFormat="false" ht="24" hidden="false" customHeight="true" outlineLevel="0" collapsed="false"/>
    <row r="818" customFormat="false" ht="24" hidden="false" customHeight="true" outlineLevel="0" collapsed="false"/>
    <row r="819" customFormat="false" ht="24" hidden="false" customHeight="true" outlineLevel="0" collapsed="false"/>
    <row r="820" customFormat="false" ht="24" hidden="false" customHeight="true" outlineLevel="0" collapsed="false"/>
    <row r="821" customFormat="false" ht="24" hidden="false" customHeight="true" outlineLevel="0" collapsed="false"/>
    <row r="822" customFormat="false" ht="24" hidden="false" customHeight="true" outlineLevel="0" collapsed="false"/>
    <row r="823" customFormat="false" ht="24" hidden="false" customHeight="true" outlineLevel="0" collapsed="false"/>
    <row r="824" customFormat="false" ht="24" hidden="false" customHeight="true" outlineLevel="0" collapsed="false"/>
    <row r="825" customFormat="false" ht="24" hidden="false" customHeight="true" outlineLevel="0" collapsed="false"/>
    <row r="826" customFormat="false" ht="24" hidden="false" customHeight="true" outlineLevel="0" collapsed="false"/>
    <row r="827" customFormat="false" ht="24" hidden="false" customHeight="true" outlineLevel="0" collapsed="false"/>
    <row r="828" customFormat="false" ht="24" hidden="false" customHeight="true" outlineLevel="0" collapsed="false"/>
    <row r="829" customFormat="false" ht="24" hidden="false" customHeight="true" outlineLevel="0" collapsed="false"/>
    <row r="830" customFormat="false" ht="24" hidden="false" customHeight="true" outlineLevel="0" collapsed="false"/>
    <row r="831" customFormat="false" ht="24" hidden="false" customHeight="true" outlineLevel="0" collapsed="false"/>
    <row r="832" customFormat="false" ht="24" hidden="false" customHeight="true" outlineLevel="0" collapsed="false"/>
    <row r="833" customFormat="false" ht="24" hidden="false" customHeight="true" outlineLevel="0" collapsed="false"/>
    <row r="834" customFormat="false" ht="24" hidden="false" customHeight="true" outlineLevel="0" collapsed="false"/>
    <row r="835" customFormat="false" ht="24" hidden="false" customHeight="true" outlineLevel="0" collapsed="false"/>
    <row r="836" customFormat="false" ht="24" hidden="false" customHeight="true" outlineLevel="0" collapsed="false"/>
    <row r="837" customFormat="false" ht="24" hidden="false" customHeight="true" outlineLevel="0" collapsed="false"/>
    <row r="838" customFormat="false" ht="24" hidden="false" customHeight="true" outlineLevel="0" collapsed="false"/>
    <row r="839" customFormat="false" ht="24" hidden="false" customHeight="true" outlineLevel="0" collapsed="false"/>
    <row r="840" customFormat="false" ht="24" hidden="false" customHeight="true" outlineLevel="0" collapsed="false"/>
    <row r="841" customFormat="false" ht="24" hidden="false" customHeight="true" outlineLevel="0" collapsed="false"/>
    <row r="842" customFormat="false" ht="24" hidden="false" customHeight="true" outlineLevel="0" collapsed="false"/>
    <row r="843" customFormat="false" ht="24" hidden="false" customHeight="true" outlineLevel="0" collapsed="false"/>
    <row r="844" customFormat="false" ht="24" hidden="false" customHeight="true" outlineLevel="0" collapsed="false"/>
    <row r="845" customFormat="false" ht="24" hidden="false" customHeight="true" outlineLevel="0" collapsed="false"/>
    <row r="846" customFormat="false" ht="24" hidden="false" customHeight="true" outlineLevel="0" collapsed="false"/>
    <row r="847" customFormat="false" ht="24" hidden="false" customHeight="true" outlineLevel="0" collapsed="false"/>
    <row r="848" customFormat="false" ht="24" hidden="false" customHeight="true" outlineLevel="0" collapsed="false"/>
    <row r="849" customFormat="false" ht="24" hidden="false" customHeight="true" outlineLevel="0" collapsed="false"/>
    <row r="850" customFormat="false" ht="24" hidden="false" customHeight="true" outlineLevel="0" collapsed="false"/>
    <row r="851" customFormat="false" ht="24" hidden="false" customHeight="true" outlineLevel="0" collapsed="false"/>
    <row r="852" customFormat="false" ht="24" hidden="false" customHeight="true" outlineLevel="0" collapsed="false"/>
    <row r="853" customFormat="false" ht="24" hidden="false" customHeight="true" outlineLevel="0" collapsed="false"/>
    <row r="854" customFormat="false" ht="24" hidden="false" customHeight="true" outlineLevel="0" collapsed="false"/>
    <row r="855" customFormat="false" ht="24" hidden="false" customHeight="true" outlineLevel="0" collapsed="false"/>
    <row r="856" customFormat="false" ht="24" hidden="false" customHeight="true" outlineLevel="0" collapsed="false"/>
    <row r="857" customFormat="false" ht="24" hidden="false" customHeight="true" outlineLevel="0" collapsed="false"/>
    <row r="858" customFormat="false" ht="24" hidden="false" customHeight="true" outlineLevel="0" collapsed="false"/>
    <row r="859" customFormat="false" ht="24" hidden="false" customHeight="true" outlineLevel="0" collapsed="false"/>
    <row r="860" customFormat="false" ht="24" hidden="false" customHeight="true" outlineLevel="0" collapsed="false"/>
    <row r="861" customFormat="false" ht="24" hidden="false" customHeight="true" outlineLevel="0" collapsed="false"/>
    <row r="862" customFormat="false" ht="24" hidden="false" customHeight="true" outlineLevel="0" collapsed="false"/>
    <row r="863" customFormat="false" ht="24" hidden="false" customHeight="true" outlineLevel="0" collapsed="false"/>
    <row r="864" customFormat="false" ht="24" hidden="false" customHeight="true" outlineLevel="0" collapsed="false"/>
    <row r="865" customFormat="false" ht="24" hidden="false" customHeight="true" outlineLevel="0" collapsed="false"/>
    <row r="866" customFormat="false" ht="24" hidden="false" customHeight="true" outlineLevel="0" collapsed="false"/>
    <row r="867" customFormat="false" ht="24" hidden="false" customHeight="true" outlineLevel="0" collapsed="false"/>
    <row r="868" customFormat="false" ht="24" hidden="false" customHeight="true" outlineLevel="0" collapsed="false"/>
    <row r="869" customFormat="false" ht="24" hidden="false" customHeight="true" outlineLevel="0" collapsed="false"/>
    <row r="870" customFormat="false" ht="24" hidden="false" customHeight="true" outlineLevel="0" collapsed="false"/>
    <row r="871" customFormat="false" ht="24" hidden="false" customHeight="true" outlineLevel="0" collapsed="false"/>
    <row r="872" customFormat="false" ht="24" hidden="false" customHeight="true" outlineLevel="0" collapsed="false"/>
    <row r="873" customFormat="false" ht="24" hidden="false" customHeight="true" outlineLevel="0" collapsed="false"/>
    <row r="874" customFormat="false" ht="24" hidden="false" customHeight="true" outlineLevel="0" collapsed="false"/>
    <row r="875" customFormat="false" ht="24" hidden="false" customHeight="true" outlineLevel="0" collapsed="false"/>
    <row r="876" customFormat="false" ht="24" hidden="false" customHeight="true" outlineLevel="0" collapsed="false"/>
    <row r="877" customFormat="false" ht="24" hidden="false" customHeight="true" outlineLevel="0" collapsed="false"/>
    <row r="878" customFormat="false" ht="24" hidden="false" customHeight="true" outlineLevel="0" collapsed="false"/>
    <row r="879" customFormat="false" ht="24" hidden="false" customHeight="true" outlineLevel="0" collapsed="false"/>
    <row r="880" customFormat="false" ht="24" hidden="false" customHeight="true" outlineLevel="0" collapsed="false"/>
    <row r="881" customFormat="false" ht="24" hidden="false" customHeight="true" outlineLevel="0" collapsed="false"/>
    <row r="882" customFormat="false" ht="24" hidden="false" customHeight="true" outlineLevel="0" collapsed="false"/>
    <row r="883" customFormat="false" ht="24" hidden="false" customHeight="true" outlineLevel="0" collapsed="false"/>
    <row r="884" customFormat="false" ht="24" hidden="false" customHeight="true" outlineLevel="0" collapsed="false"/>
    <row r="885" customFormat="false" ht="24" hidden="false" customHeight="true" outlineLevel="0" collapsed="false"/>
    <row r="886" customFormat="false" ht="24" hidden="false" customHeight="true" outlineLevel="0" collapsed="false"/>
    <row r="887" customFormat="false" ht="24" hidden="false" customHeight="true" outlineLevel="0" collapsed="false"/>
    <row r="888" customFormat="false" ht="24" hidden="false" customHeight="true" outlineLevel="0" collapsed="false"/>
    <row r="889" customFormat="false" ht="24" hidden="false" customHeight="true" outlineLevel="0" collapsed="false"/>
    <row r="890" customFormat="false" ht="24" hidden="false" customHeight="true" outlineLevel="0" collapsed="false"/>
    <row r="891" customFormat="false" ht="24" hidden="false" customHeight="true" outlineLevel="0" collapsed="false"/>
    <row r="892" customFormat="false" ht="24" hidden="false" customHeight="true" outlineLevel="0" collapsed="false"/>
    <row r="893" customFormat="false" ht="24" hidden="false" customHeight="true" outlineLevel="0" collapsed="false"/>
    <row r="894" customFormat="false" ht="24" hidden="false" customHeight="true" outlineLevel="0" collapsed="false"/>
    <row r="895" customFormat="false" ht="24" hidden="false" customHeight="true" outlineLevel="0" collapsed="false"/>
    <row r="896" customFormat="false" ht="24" hidden="false" customHeight="true" outlineLevel="0" collapsed="false"/>
    <row r="897" customFormat="false" ht="24" hidden="false" customHeight="true" outlineLevel="0" collapsed="false"/>
    <row r="898" customFormat="false" ht="24" hidden="false" customHeight="true" outlineLevel="0" collapsed="false"/>
    <row r="899" customFormat="false" ht="24" hidden="false" customHeight="true" outlineLevel="0" collapsed="false"/>
    <row r="900" customFormat="false" ht="24" hidden="false" customHeight="true" outlineLevel="0" collapsed="false"/>
    <row r="901" customFormat="false" ht="24" hidden="false" customHeight="true" outlineLevel="0" collapsed="false"/>
    <row r="902" customFormat="false" ht="24" hidden="false" customHeight="true" outlineLevel="0" collapsed="false"/>
    <row r="903" customFormat="false" ht="24" hidden="false" customHeight="true" outlineLevel="0" collapsed="false"/>
    <row r="904" customFormat="false" ht="24" hidden="false" customHeight="true" outlineLevel="0" collapsed="false"/>
    <row r="905" customFormat="false" ht="24" hidden="false" customHeight="true" outlineLevel="0" collapsed="false"/>
    <row r="906" customFormat="false" ht="24" hidden="false" customHeight="true" outlineLevel="0" collapsed="false"/>
    <row r="907" customFormat="false" ht="24" hidden="false" customHeight="true" outlineLevel="0" collapsed="false"/>
    <row r="908" customFormat="false" ht="24" hidden="false" customHeight="true" outlineLevel="0" collapsed="false"/>
    <row r="909" customFormat="false" ht="24" hidden="false" customHeight="true" outlineLevel="0" collapsed="false"/>
    <row r="910" customFormat="false" ht="24" hidden="false" customHeight="true" outlineLevel="0" collapsed="false"/>
    <row r="911" customFormat="false" ht="24" hidden="false" customHeight="true" outlineLevel="0" collapsed="false"/>
    <row r="912" customFormat="false" ht="24" hidden="false" customHeight="true" outlineLevel="0" collapsed="false"/>
    <row r="913" customFormat="false" ht="24" hidden="false" customHeight="true" outlineLevel="0" collapsed="false"/>
    <row r="914" customFormat="false" ht="24" hidden="false" customHeight="true" outlineLevel="0" collapsed="false"/>
    <row r="915" customFormat="false" ht="24" hidden="false" customHeight="true" outlineLevel="0" collapsed="false"/>
    <row r="916" customFormat="false" ht="24" hidden="false" customHeight="true" outlineLevel="0" collapsed="false"/>
    <row r="917" customFormat="false" ht="24" hidden="false" customHeight="true" outlineLevel="0" collapsed="false"/>
    <row r="918" customFormat="false" ht="24" hidden="false" customHeight="true" outlineLevel="0" collapsed="false"/>
    <row r="919" customFormat="false" ht="24" hidden="false" customHeight="true" outlineLevel="0" collapsed="false"/>
    <row r="920" customFormat="false" ht="24" hidden="false" customHeight="true" outlineLevel="0" collapsed="false"/>
    <row r="921" customFormat="false" ht="24" hidden="false" customHeight="true" outlineLevel="0" collapsed="false"/>
    <row r="922" customFormat="false" ht="24" hidden="false" customHeight="true" outlineLevel="0" collapsed="false"/>
    <row r="923" customFormat="false" ht="24" hidden="false" customHeight="true" outlineLevel="0" collapsed="false"/>
    <row r="924" customFormat="false" ht="24" hidden="false" customHeight="true" outlineLevel="0" collapsed="false"/>
    <row r="925" customFormat="false" ht="24" hidden="false" customHeight="true" outlineLevel="0" collapsed="false"/>
    <row r="926" customFormat="false" ht="24" hidden="false" customHeight="true" outlineLevel="0" collapsed="false"/>
    <row r="927" customFormat="false" ht="24" hidden="false" customHeight="true" outlineLevel="0" collapsed="false"/>
    <row r="928" customFormat="false" ht="24" hidden="false" customHeight="true" outlineLevel="0" collapsed="false"/>
    <row r="929" customFormat="false" ht="24" hidden="false" customHeight="true" outlineLevel="0" collapsed="false"/>
    <row r="930" customFormat="false" ht="24" hidden="false" customHeight="true" outlineLevel="0" collapsed="false"/>
    <row r="931" customFormat="false" ht="24" hidden="false" customHeight="true" outlineLevel="0" collapsed="false"/>
    <row r="932" customFormat="false" ht="24" hidden="false" customHeight="true" outlineLevel="0" collapsed="false"/>
    <row r="933" customFormat="false" ht="24" hidden="false" customHeight="true" outlineLevel="0" collapsed="false"/>
    <row r="934" customFormat="false" ht="24" hidden="false" customHeight="true" outlineLevel="0" collapsed="false"/>
    <row r="935" customFormat="false" ht="24" hidden="false" customHeight="true" outlineLevel="0" collapsed="false"/>
    <row r="936" customFormat="false" ht="24" hidden="false" customHeight="true" outlineLevel="0" collapsed="false"/>
    <row r="937" customFormat="false" ht="24" hidden="false" customHeight="true" outlineLevel="0" collapsed="false"/>
    <row r="938" customFormat="false" ht="24" hidden="false" customHeight="true" outlineLevel="0" collapsed="false"/>
    <row r="939" customFormat="false" ht="24" hidden="false" customHeight="true" outlineLevel="0" collapsed="false"/>
    <row r="940" customFormat="false" ht="24" hidden="false" customHeight="true" outlineLevel="0" collapsed="false"/>
    <row r="941" customFormat="false" ht="24" hidden="false" customHeight="true" outlineLevel="0" collapsed="false"/>
    <row r="942" customFormat="false" ht="24" hidden="false" customHeight="true" outlineLevel="0" collapsed="false"/>
    <row r="943" customFormat="false" ht="24" hidden="false" customHeight="true" outlineLevel="0" collapsed="false"/>
    <row r="944" customFormat="false" ht="24" hidden="false" customHeight="true" outlineLevel="0" collapsed="false"/>
    <row r="945" customFormat="false" ht="24" hidden="false" customHeight="true" outlineLevel="0" collapsed="false"/>
    <row r="946" customFormat="false" ht="24" hidden="false" customHeight="true" outlineLevel="0" collapsed="false"/>
    <row r="947" customFormat="false" ht="24" hidden="false" customHeight="true" outlineLevel="0" collapsed="false"/>
    <row r="948" customFormat="false" ht="24" hidden="false" customHeight="true" outlineLevel="0" collapsed="false"/>
    <row r="949" customFormat="false" ht="24" hidden="false" customHeight="true" outlineLevel="0" collapsed="false"/>
    <row r="950" customFormat="false" ht="24" hidden="false" customHeight="true" outlineLevel="0" collapsed="false"/>
    <row r="951" customFormat="false" ht="24" hidden="false" customHeight="true" outlineLevel="0" collapsed="false"/>
    <row r="952" customFormat="false" ht="24" hidden="false" customHeight="true" outlineLevel="0" collapsed="false"/>
    <row r="953" customFormat="false" ht="24" hidden="false" customHeight="true" outlineLevel="0" collapsed="false"/>
    <row r="954" customFormat="false" ht="24" hidden="false" customHeight="true" outlineLevel="0" collapsed="false"/>
    <row r="955" customFormat="false" ht="24" hidden="false" customHeight="true" outlineLevel="0" collapsed="false"/>
    <row r="956" customFormat="false" ht="24" hidden="false" customHeight="true" outlineLevel="0" collapsed="false"/>
    <row r="957" customFormat="false" ht="24" hidden="false" customHeight="true" outlineLevel="0" collapsed="false"/>
    <row r="958" customFormat="false" ht="24" hidden="false" customHeight="true" outlineLevel="0" collapsed="false"/>
    <row r="959" customFormat="false" ht="24" hidden="false" customHeight="true" outlineLevel="0" collapsed="false"/>
    <row r="960" customFormat="false" ht="24" hidden="false" customHeight="true" outlineLevel="0" collapsed="false"/>
    <row r="961" customFormat="false" ht="24" hidden="false" customHeight="true" outlineLevel="0" collapsed="false"/>
    <row r="962" customFormat="false" ht="24" hidden="false" customHeight="true" outlineLevel="0" collapsed="false"/>
    <row r="963" customFormat="false" ht="24" hidden="false" customHeight="true" outlineLevel="0" collapsed="false"/>
    <row r="964" customFormat="false" ht="24" hidden="false" customHeight="true" outlineLevel="0" collapsed="false"/>
    <row r="965" customFormat="false" ht="24" hidden="false" customHeight="true" outlineLevel="0" collapsed="false"/>
    <row r="966" customFormat="false" ht="24" hidden="false" customHeight="true" outlineLevel="0" collapsed="false"/>
    <row r="967" customFormat="false" ht="24" hidden="false" customHeight="true" outlineLevel="0" collapsed="false"/>
    <row r="968" customFormat="false" ht="24" hidden="false" customHeight="true" outlineLevel="0" collapsed="false"/>
    <row r="969" customFormat="false" ht="24" hidden="false" customHeight="true" outlineLevel="0" collapsed="false"/>
    <row r="970" customFormat="false" ht="24" hidden="false" customHeight="true" outlineLevel="0" collapsed="false"/>
    <row r="971" customFormat="false" ht="24" hidden="false" customHeight="true" outlineLevel="0" collapsed="false"/>
    <row r="972" customFormat="false" ht="24" hidden="false" customHeight="true" outlineLevel="0" collapsed="false"/>
    <row r="973" customFormat="false" ht="24" hidden="false" customHeight="true" outlineLevel="0" collapsed="false"/>
    <row r="974" customFormat="false" ht="24" hidden="false" customHeight="true" outlineLevel="0" collapsed="false"/>
    <row r="975" customFormat="false" ht="24" hidden="false" customHeight="true" outlineLevel="0" collapsed="false"/>
    <row r="976" customFormat="false" ht="24" hidden="false" customHeight="true" outlineLevel="0" collapsed="false"/>
    <row r="977" customFormat="false" ht="24" hidden="false" customHeight="true" outlineLevel="0" collapsed="false"/>
    <row r="978" customFormat="false" ht="24" hidden="false" customHeight="true" outlineLevel="0" collapsed="false"/>
    <row r="979" customFormat="false" ht="24" hidden="false" customHeight="true" outlineLevel="0" collapsed="false"/>
    <row r="980" customFormat="false" ht="24" hidden="false" customHeight="true" outlineLevel="0" collapsed="false"/>
    <row r="981" customFormat="false" ht="24" hidden="false" customHeight="true" outlineLevel="0" collapsed="false"/>
    <row r="982" customFormat="false" ht="24" hidden="false" customHeight="true" outlineLevel="0" collapsed="false"/>
    <row r="983" customFormat="false" ht="24" hidden="false" customHeight="true" outlineLevel="0" collapsed="false"/>
    <row r="984" customFormat="false" ht="24" hidden="false" customHeight="true" outlineLevel="0" collapsed="false"/>
    <row r="985" customFormat="false" ht="24" hidden="false" customHeight="true" outlineLevel="0" collapsed="false"/>
    <row r="986" customFormat="false" ht="24" hidden="false" customHeight="true" outlineLevel="0" collapsed="false"/>
    <row r="987" customFormat="false" ht="24" hidden="false" customHeight="true" outlineLevel="0" collapsed="false"/>
    <row r="988" customFormat="false" ht="24" hidden="false" customHeight="true" outlineLevel="0" collapsed="false"/>
    <row r="989" customFormat="false" ht="24" hidden="false" customHeight="true" outlineLevel="0" collapsed="false"/>
    <row r="990" customFormat="false" ht="24" hidden="false" customHeight="true" outlineLevel="0" collapsed="false"/>
    <row r="991" customFormat="false" ht="24" hidden="false" customHeight="true" outlineLevel="0" collapsed="false"/>
    <row r="992" customFormat="false" ht="24" hidden="false" customHeight="true" outlineLevel="0" collapsed="false"/>
    <row r="993" customFormat="false" ht="24" hidden="false" customHeight="true" outlineLevel="0" collapsed="false"/>
    <row r="994" customFormat="false" ht="24" hidden="false" customHeight="true" outlineLevel="0" collapsed="false"/>
    <row r="995" customFormat="false" ht="24" hidden="false" customHeight="true" outlineLevel="0" collapsed="false"/>
    <row r="996" customFormat="false" ht="24" hidden="false" customHeight="true" outlineLevel="0" collapsed="false"/>
    <row r="997" customFormat="false" ht="24" hidden="false" customHeight="true" outlineLevel="0" collapsed="false"/>
    <row r="998" customFormat="false" ht="24" hidden="false" customHeight="true" outlineLevel="0" collapsed="false"/>
    <row r="999" customFormat="false" ht="24" hidden="false" customHeight="true" outlineLevel="0" collapsed="false"/>
    <row r="1000" customFormat="false" ht="24" hidden="false" customHeight="true" outlineLevel="0" collapsed="false"/>
  </sheetData>
  <mergeCells count="5">
    <mergeCell ref="A1:J1"/>
    <mergeCell ref="A2:D2"/>
    <mergeCell ref="E2:F2"/>
    <mergeCell ref="G2:H2"/>
    <mergeCell ref="I2:J2"/>
  </mergeCells>
  <printOptions headings="false" gridLines="false" gridLinesSet="true" horizontalCentered="true" verticalCentered="true"/>
  <pageMargins left="0.315277777777778" right="0.315277777777778" top="1" bottom="1"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&amp;C&amp;A</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186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2021-12-19T13:07:19Z</dcterms:created>
  <dc:creator>Usuario</dc:creator>
  <dc:description/>
  <dc:language>en-US</dc:language>
  <cp:lastModifiedBy/>
  <dcterms:modified xsi:type="dcterms:W3CDTF">2026-02-10T16:32:38Z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0x0101005547ECFE120E634A94B6554845238E98</vt:lpwstr>
  </property>
</Properties>
</file>