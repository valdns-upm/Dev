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franc\Documents\campañas\1-Antartida\camp2324\DatosCampaña\Estacas\"/>
    </mc:Choice>
  </mc:AlternateContent>
  <xr:revisionPtr revIDLastSave="0" documentId="13_ncr:1_{509C2186-F5EA-45C4-B285-DA354F13F28F}" xr6:coauthVersionLast="47" xr6:coauthVersionMax="47" xr10:uidLastSave="{00000000-0000-0000-0000-000000000000}"/>
  <bookViews>
    <workbookView xWindow="-90" yWindow="-90" windowWidth="19380" windowHeight="10380" tabRatio="494" firstSheet="1" activeTab="3" xr2:uid="{00000000-000D-0000-FFFF-FFFF00000000}"/>
  </bookViews>
  <sheets>
    <sheet name="Descripciones" sheetId="1" r:id="rId1"/>
    <sheet name="Estacas Hurd" sheetId="2" r:id="rId2"/>
    <sheet name="Estacas Hurd mto. " sheetId="3" r:id="rId3"/>
    <sheet name="Estacas Johnsons" sheetId="4" r:id="rId4"/>
    <sheet name="Estacas Johnsons mto." sheetId="5" r:id="rId5"/>
    <sheet name="RED PUNTOS CONTROL" sheetId="6" r:id="rId6"/>
    <sheet name="CorrInclinSepult" sheetId="7" r:id="rId7"/>
    <sheet name="Estacas Camp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9" i="4" l="1"/>
  <c r="AR79" i="4"/>
  <c r="AQ79" i="4"/>
  <c r="AM79" i="4"/>
  <c r="O1" i="4"/>
  <c r="AT79" i="4" s="1"/>
  <c r="O1" i="2" l="1"/>
  <c r="AM77" i="4"/>
  <c r="AQ77" i="4"/>
  <c r="AR77" i="4"/>
  <c r="AS77" i="4"/>
  <c r="AT77" i="4"/>
  <c r="AM78" i="4"/>
  <c r="AQ78" i="4"/>
  <c r="AR78" i="4"/>
  <c r="AS78" i="4"/>
  <c r="AT78" i="4"/>
  <c r="AM77" i="5"/>
  <c r="AQ77" i="5"/>
  <c r="AR77" i="5"/>
  <c r="AS77" i="5"/>
  <c r="AM78" i="5"/>
  <c r="AQ78" i="5"/>
  <c r="AR78" i="5"/>
  <c r="AS78" i="5"/>
  <c r="AQ76" i="2"/>
  <c r="AQ77" i="2"/>
  <c r="AQ78" i="2"/>
  <c r="AQ79" i="2"/>
  <c r="AM76" i="2"/>
  <c r="AR76" i="2"/>
  <c r="AS76" i="2"/>
  <c r="AT76" i="2"/>
  <c r="AM77" i="2"/>
  <c r="AR77" i="2"/>
  <c r="AS77" i="2"/>
  <c r="AT77" i="2"/>
  <c r="AM78" i="2"/>
  <c r="AR78" i="2"/>
  <c r="AS78" i="2"/>
  <c r="AT78" i="2"/>
  <c r="AM79" i="2"/>
  <c r="AR79" i="2"/>
  <c r="AS79" i="2"/>
  <c r="AT79" i="2"/>
  <c r="AM76" i="3"/>
  <c r="AQ76" i="3"/>
  <c r="AR76" i="3"/>
  <c r="AS76" i="3"/>
  <c r="AT76" i="3"/>
  <c r="AM77" i="3"/>
  <c r="AQ77" i="3"/>
  <c r="AR77" i="3"/>
  <c r="AS77" i="3"/>
  <c r="AT77" i="3"/>
  <c r="AM78" i="3"/>
  <c r="AQ78" i="3"/>
  <c r="AR78" i="3"/>
  <c r="AS78" i="3"/>
  <c r="AT78" i="3"/>
  <c r="AM79" i="3"/>
  <c r="AQ79" i="3"/>
  <c r="AR79" i="3"/>
  <c r="AS79" i="3"/>
  <c r="AT79" i="3"/>
  <c r="AM73" i="5"/>
  <c r="AQ73" i="5"/>
  <c r="AR73" i="5"/>
  <c r="AS73" i="5"/>
  <c r="AM74" i="5"/>
  <c r="AQ74" i="5"/>
  <c r="AR74" i="5"/>
  <c r="AS74" i="5"/>
  <c r="AM75" i="5"/>
  <c r="AQ75" i="5"/>
  <c r="AR75" i="5"/>
  <c r="AS75" i="5"/>
  <c r="AM76" i="5"/>
  <c r="AQ76" i="5"/>
  <c r="AR76" i="5"/>
  <c r="AS76" i="5"/>
  <c r="AM73" i="4"/>
  <c r="AQ73" i="4"/>
  <c r="AR73" i="4"/>
  <c r="AS73" i="4"/>
  <c r="AT73" i="4"/>
  <c r="AM74" i="4"/>
  <c r="AQ74" i="4"/>
  <c r="AR74" i="4"/>
  <c r="AS74" i="4"/>
  <c r="AT74" i="4"/>
  <c r="AM75" i="4"/>
  <c r="AQ75" i="4"/>
  <c r="AR75" i="4"/>
  <c r="AS75" i="4"/>
  <c r="AT75" i="4"/>
  <c r="AM76" i="4"/>
  <c r="AQ76" i="4"/>
  <c r="AR76" i="4"/>
  <c r="AS76" i="4"/>
  <c r="AT76" i="4"/>
  <c r="AM75" i="3"/>
  <c r="AQ75" i="3"/>
  <c r="AR75" i="3"/>
  <c r="AS75" i="3"/>
  <c r="AT75" i="3"/>
  <c r="AM75" i="2"/>
  <c r="AQ75" i="2"/>
  <c r="AW75" i="3" s="1"/>
  <c r="AR75" i="2"/>
  <c r="AS75" i="2"/>
  <c r="AT75" i="2"/>
  <c r="AW73" i="5" l="1"/>
  <c r="AW76" i="5"/>
  <c r="AW74" i="5"/>
  <c r="AW75" i="5"/>
  <c r="AW77" i="5"/>
  <c r="AW78" i="5"/>
  <c r="AW76" i="3"/>
  <c r="AW78" i="3"/>
  <c r="AW79" i="3"/>
  <c r="AW77" i="3"/>
  <c r="AQ70" i="5"/>
  <c r="AR70" i="5"/>
  <c r="AS70" i="5"/>
  <c r="AQ71" i="5"/>
  <c r="AR71" i="5"/>
  <c r="AS71" i="5"/>
  <c r="AM70" i="5"/>
  <c r="AM71" i="5"/>
  <c r="AM64" i="4"/>
  <c r="AM70" i="4"/>
  <c r="AM67" i="4"/>
  <c r="AM66" i="4"/>
  <c r="AM61" i="4"/>
  <c r="AM55" i="4"/>
  <c r="AM51" i="4"/>
  <c r="AM50" i="4"/>
  <c r="AM47" i="4"/>
  <c r="AM46" i="4"/>
  <c r="AM43" i="4"/>
  <c r="AM42" i="4"/>
  <c r="AM40" i="4"/>
  <c r="AM39" i="4"/>
  <c r="AM38" i="4"/>
  <c r="AM37" i="4"/>
  <c r="AM18" i="4"/>
  <c r="AM17" i="4"/>
  <c r="AM11" i="4"/>
  <c r="AM9" i="4"/>
  <c r="AM7" i="4"/>
  <c r="AM55" i="2"/>
  <c r="AM40" i="2"/>
  <c r="AM27" i="2"/>
  <c r="AM26" i="2"/>
  <c r="AM15" i="2"/>
  <c r="AM14" i="2"/>
  <c r="AM10" i="2"/>
  <c r="AM9" i="2"/>
  <c r="AM8" i="2"/>
  <c r="AM7" i="2"/>
  <c r="AM6" i="2"/>
  <c r="AM5" i="2"/>
  <c r="AM24" i="2"/>
  <c r="AM31" i="2"/>
  <c r="AM30" i="2"/>
  <c r="AM29" i="2"/>
  <c r="AM34" i="2"/>
  <c r="AM74" i="2"/>
  <c r="AM72" i="2"/>
  <c r="AM71" i="2"/>
  <c r="AM70" i="2"/>
  <c r="AM68" i="2"/>
  <c r="AM65" i="2"/>
  <c r="AM63" i="2"/>
  <c r="AS60" i="2" l="1"/>
  <c r="AR60" i="2"/>
  <c r="AW71" i="5" l="1"/>
  <c r="AS70" i="4"/>
  <c r="AR70" i="4"/>
  <c r="AQ70" i="4"/>
  <c r="AW70" i="5" s="1"/>
  <c r="AS74" i="3"/>
  <c r="AR74" i="3"/>
  <c r="AQ74" i="3"/>
  <c r="AM74" i="3"/>
  <c r="AS72" i="3"/>
  <c r="AR72" i="3"/>
  <c r="AQ72" i="3"/>
  <c r="AM72" i="3"/>
  <c r="AS71" i="3"/>
  <c r="AR71" i="3"/>
  <c r="AQ71" i="3"/>
  <c r="AM71" i="3"/>
  <c r="AS70" i="3"/>
  <c r="AR70" i="3"/>
  <c r="AQ70" i="3"/>
  <c r="AM70" i="3"/>
  <c r="AS74" i="2"/>
  <c r="AR74" i="2"/>
  <c r="AQ74" i="2"/>
  <c r="AS72" i="2"/>
  <c r="AR72" i="2"/>
  <c r="AQ72" i="2"/>
  <c r="AS71" i="2"/>
  <c r="AR71" i="2"/>
  <c r="AQ71" i="2"/>
  <c r="AS70" i="2"/>
  <c r="AR70" i="2"/>
  <c r="AQ70" i="2"/>
  <c r="AQ64" i="5"/>
  <c r="AR64" i="5"/>
  <c r="AS64" i="5"/>
  <c r="AQ66" i="5"/>
  <c r="AR66" i="5"/>
  <c r="AS66" i="5"/>
  <c r="AQ67" i="5"/>
  <c r="AR67" i="5"/>
  <c r="AS67" i="5"/>
  <c r="AM18" i="5"/>
  <c r="AM17" i="5"/>
  <c r="AM11" i="5"/>
  <c r="AM9" i="5"/>
  <c r="AM43" i="5"/>
  <c r="AM42" i="5"/>
  <c r="AM40" i="5"/>
  <c r="AM39" i="5"/>
  <c r="AM38" i="5"/>
  <c r="AM46" i="5"/>
  <c r="AM51" i="5"/>
  <c r="AM50" i="5"/>
  <c r="AM55" i="5"/>
  <c r="AM64" i="5"/>
  <c r="AM66" i="5"/>
  <c r="AM67" i="5"/>
  <c r="AW3" i="3"/>
  <c r="AS7" i="3"/>
  <c r="AR7" i="3"/>
  <c r="AQ7" i="3"/>
  <c r="AS40" i="3"/>
  <c r="AR40" i="3"/>
  <c r="AQ40" i="3"/>
  <c r="AM34" i="3"/>
  <c r="AM31" i="3"/>
  <c r="AM30" i="3"/>
  <c r="AM29" i="3"/>
  <c r="AM27" i="3"/>
  <c r="AM26" i="3"/>
  <c r="AM24" i="3"/>
  <c r="AM15" i="3"/>
  <c r="AM10" i="3"/>
  <c r="AM9" i="3"/>
  <c r="AM8" i="3"/>
  <c r="AM7" i="3"/>
  <c r="AS68" i="3"/>
  <c r="AR68" i="3"/>
  <c r="AQ68" i="3"/>
  <c r="AM68" i="3"/>
  <c r="AQ66" i="4"/>
  <c r="AR66" i="4"/>
  <c r="AS66" i="4"/>
  <c r="AQ67" i="4"/>
  <c r="AR67" i="4"/>
  <c r="AS67" i="4"/>
  <c r="J2" i="7"/>
  <c r="L2" i="7" s="1"/>
  <c r="K2" i="7"/>
  <c r="N2" i="7"/>
  <c r="J3" i="7"/>
  <c r="L3" i="7"/>
  <c r="K3" i="7"/>
  <c r="N3" i="7"/>
  <c r="J4" i="7"/>
  <c r="K4" i="7"/>
  <c r="L4" i="7"/>
  <c r="M4" i="7"/>
  <c r="N4" i="7"/>
  <c r="J5" i="7"/>
  <c r="L5" i="7" s="1"/>
  <c r="K5" i="7"/>
  <c r="N5" i="7"/>
  <c r="J6" i="7"/>
  <c r="L6" i="7"/>
  <c r="K6" i="7"/>
  <c r="N6" i="7"/>
  <c r="J7" i="7"/>
  <c r="L7" i="7"/>
  <c r="K7" i="7"/>
  <c r="M7" i="7"/>
  <c r="N7" i="7"/>
  <c r="J8" i="7"/>
  <c r="M8" i="7" s="1"/>
  <c r="K8" i="7"/>
  <c r="L8" i="7"/>
  <c r="N8" i="7"/>
  <c r="J9" i="7"/>
  <c r="K9" i="7"/>
  <c r="L9" i="7"/>
  <c r="M9" i="7"/>
  <c r="N9" i="7"/>
  <c r="J10" i="7"/>
  <c r="L10" i="7" s="1"/>
  <c r="K10" i="7"/>
  <c r="N10" i="7"/>
  <c r="J11" i="7"/>
  <c r="L11" i="7"/>
  <c r="K11" i="7"/>
  <c r="N11" i="7"/>
  <c r="J12" i="7"/>
  <c r="L12" i="7" s="1"/>
  <c r="K12" i="7"/>
  <c r="N12" i="7"/>
  <c r="J13" i="7"/>
  <c r="L13" i="7" s="1"/>
  <c r="K13" i="7"/>
  <c r="M13" i="7"/>
  <c r="N13" i="7"/>
  <c r="J14" i="7"/>
  <c r="L14" i="7" s="1"/>
  <c r="K14" i="7"/>
  <c r="N14" i="7"/>
  <c r="J15" i="7"/>
  <c r="M15" i="7" s="1"/>
  <c r="K15" i="7"/>
  <c r="N15" i="7"/>
  <c r="J16" i="7"/>
  <c r="K16" i="7"/>
  <c r="L16" i="7"/>
  <c r="M16" i="7"/>
  <c r="N16" i="7"/>
  <c r="J17" i="7"/>
  <c r="L17" i="7" s="1"/>
  <c r="K17" i="7"/>
  <c r="N17" i="7"/>
  <c r="J18" i="7"/>
  <c r="M18" i="7" s="1"/>
  <c r="L18" i="7"/>
  <c r="K18" i="7"/>
  <c r="N18" i="7"/>
  <c r="J19" i="7"/>
  <c r="L19" i="7"/>
  <c r="K19" i="7"/>
  <c r="N19" i="7"/>
  <c r="J20" i="7"/>
  <c r="L20" i="7" s="1"/>
  <c r="K20" i="7"/>
  <c r="M20" i="7"/>
  <c r="N20" i="7"/>
  <c r="J21" i="7"/>
  <c r="L21" i="7" s="1"/>
  <c r="K21" i="7"/>
  <c r="M21" i="7"/>
  <c r="N21" i="7"/>
  <c r="J22" i="7"/>
  <c r="L22" i="7"/>
  <c r="K22" i="7"/>
  <c r="N22" i="7"/>
  <c r="J23" i="7"/>
  <c r="L23" i="7"/>
  <c r="K23" i="7"/>
  <c r="M23" i="7"/>
  <c r="N23" i="7"/>
  <c r="J24" i="7"/>
  <c r="L24" i="7" s="1"/>
  <c r="K24" i="7"/>
  <c r="N24" i="7"/>
  <c r="J25" i="7"/>
  <c r="L25" i="7" s="1"/>
  <c r="K25" i="7"/>
  <c r="M25" i="7"/>
  <c r="N25" i="7"/>
  <c r="AT9" i="2"/>
  <c r="AQ5" i="2"/>
  <c r="AR5" i="2"/>
  <c r="AS5" i="2"/>
  <c r="AT5" i="2"/>
  <c r="AQ6" i="2"/>
  <c r="AR6" i="2"/>
  <c r="AS6" i="2"/>
  <c r="AQ7" i="2"/>
  <c r="AR7" i="2"/>
  <c r="AS7" i="2"/>
  <c r="AQ8" i="2"/>
  <c r="AR8" i="2"/>
  <c r="AS8" i="2"/>
  <c r="AT8" i="2"/>
  <c r="AQ9" i="2"/>
  <c r="AR9" i="2"/>
  <c r="AS9" i="2"/>
  <c r="AQ10" i="2"/>
  <c r="AR10" i="2"/>
  <c r="AS10" i="2"/>
  <c r="AQ14" i="2"/>
  <c r="AR14" i="2"/>
  <c r="AS14" i="2"/>
  <c r="AQ15" i="2"/>
  <c r="AR15" i="2"/>
  <c r="AS15" i="2"/>
  <c r="AT15" i="2"/>
  <c r="AQ24" i="2"/>
  <c r="AR24" i="2"/>
  <c r="AS24" i="2"/>
  <c r="AQ26" i="2"/>
  <c r="AR26" i="2"/>
  <c r="AS26" i="2"/>
  <c r="AT26" i="2"/>
  <c r="AQ27" i="2"/>
  <c r="AR27" i="2"/>
  <c r="AS27" i="2"/>
  <c r="AQ29" i="2"/>
  <c r="AR29" i="2"/>
  <c r="AS29" i="2"/>
  <c r="AQ30" i="2"/>
  <c r="AR30" i="2"/>
  <c r="AS30" i="2"/>
  <c r="AQ31" i="2"/>
  <c r="AR31" i="2"/>
  <c r="AS31" i="2"/>
  <c r="AQ34" i="2"/>
  <c r="AR34" i="2"/>
  <c r="AS34" i="2"/>
  <c r="AT34" i="2"/>
  <c r="AQ40" i="2"/>
  <c r="AW40" i="3" s="1"/>
  <c r="AR40" i="2"/>
  <c r="AS40" i="2"/>
  <c r="AQ55" i="2"/>
  <c r="AR55" i="2"/>
  <c r="AS55" i="2"/>
  <c r="AM57" i="2"/>
  <c r="AQ57" i="2"/>
  <c r="AR57" i="2"/>
  <c r="AS57" i="2"/>
  <c r="AM58" i="2"/>
  <c r="AQ58" i="2"/>
  <c r="AR58" i="2"/>
  <c r="AS58" i="2"/>
  <c r="AM59" i="2"/>
  <c r="AQ59" i="2"/>
  <c r="AR59" i="2"/>
  <c r="AS59" i="2"/>
  <c r="AM60" i="2"/>
  <c r="AQ60" i="2"/>
  <c r="AT60" i="2"/>
  <c r="AQ63" i="2"/>
  <c r="AR63" i="2"/>
  <c r="AS63" i="2"/>
  <c r="AQ65" i="2"/>
  <c r="AR65" i="2"/>
  <c r="AS65" i="2"/>
  <c r="AQ68" i="2"/>
  <c r="AR68" i="2"/>
  <c r="AS68" i="2"/>
  <c r="O1" i="3"/>
  <c r="AT31" i="3" s="1"/>
  <c r="AM5" i="3"/>
  <c r="AQ5" i="3"/>
  <c r="AR5" i="3"/>
  <c r="AS5" i="3"/>
  <c r="AM6" i="3"/>
  <c r="AQ6" i="3"/>
  <c r="AR6" i="3"/>
  <c r="AS6" i="3"/>
  <c r="AQ8" i="3"/>
  <c r="AR8" i="3"/>
  <c r="AS8" i="3"/>
  <c r="AQ9" i="3"/>
  <c r="AR9" i="3"/>
  <c r="AS9" i="3"/>
  <c r="AQ10" i="3"/>
  <c r="AR10" i="3"/>
  <c r="AS10" i="3"/>
  <c r="AM14" i="3"/>
  <c r="AQ14" i="3"/>
  <c r="AR14" i="3"/>
  <c r="AS14" i="3"/>
  <c r="AQ15" i="3"/>
  <c r="AR15" i="3"/>
  <c r="AS15" i="3"/>
  <c r="AW16" i="3"/>
  <c r="AQ24" i="3"/>
  <c r="AR24" i="3"/>
  <c r="AS24" i="3"/>
  <c r="AQ26" i="3"/>
  <c r="AR26" i="3"/>
  <c r="AS26" i="3"/>
  <c r="AQ27" i="3"/>
  <c r="AR27" i="3"/>
  <c r="AS27" i="3"/>
  <c r="AQ29" i="3"/>
  <c r="AR29" i="3"/>
  <c r="AS29" i="3"/>
  <c r="AQ30" i="3"/>
  <c r="AR30" i="3"/>
  <c r="AS30" i="3"/>
  <c r="AQ31" i="3"/>
  <c r="AR31" i="3"/>
  <c r="AS31" i="3"/>
  <c r="AQ34" i="3"/>
  <c r="AR34" i="3"/>
  <c r="AS34" i="3"/>
  <c r="AM40" i="3"/>
  <c r="AM55" i="3"/>
  <c r="AQ55" i="3"/>
  <c r="AW55" i="3" s="1"/>
  <c r="AR55" i="3"/>
  <c r="AS55" i="3"/>
  <c r="AM57" i="3"/>
  <c r="AQ57" i="3"/>
  <c r="AR57" i="3"/>
  <c r="AS57" i="3"/>
  <c r="AM58" i="3"/>
  <c r="AQ58" i="3"/>
  <c r="AR58" i="3"/>
  <c r="AS58" i="3"/>
  <c r="AM59" i="3"/>
  <c r="AQ59" i="3"/>
  <c r="AR59" i="3"/>
  <c r="AS59" i="3"/>
  <c r="AM60" i="3"/>
  <c r="AQ60" i="3"/>
  <c r="AW60" i="3" s="1"/>
  <c r="AR60" i="3"/>
  <c r="AS60" i="3"/>
  <c r="AM63" i="3"/>
  <c r="AQ63" i="3"/>
  <c r="AR63" i="3"/>
  <c r="AS63" i="3"/>
  <c r="AM65" i="3"/>
  <c r="AQ65" i="3"/>
  <c r="AR65" i="3"/>
  <c r="AS65" i="3"/>
  <c r="AQ7" i="4"/>
  <c r="AR7" i="4"/>
  <c r="AS7" i="4"/>
  <c r="AQ9" i="4"/>
  <c r="AW9" i="5" s="1"/>
  <c r="AR9" i="4"/>
  <c r="AS9" i="4"/>
  <c r="AQ11" i="4"/>
  <c r="AR11" i="4"/>
  <c r="AS11" i="4"/>
  <c r="AQ17" i="4"/>
  <c r="AR17" i="4"/>
  <c r="AS17" i="4"/>
  <c r="AQ18" i="4"/>
  <c r="AR18" i="4"/>
  <c r="AS18" i="4"/>
  <c r="AQ37" i="4"/>
  <c r="AR37" i="4"/>
  <c r="AS37" i="4"/>
  <c r="AQ38" i="4"/>
  <c r="AR38" i="4"/>
  <c r="AS38" i="4"/>
  <c r="AQ39" i="4"/>
  <c r="AR39" i="4"/>
  <c r="AS39" i="4"/>
  <c r="AT39" i="4"/>
  <c r="AQ40" i="4"/>
  <c r="AR40" i="4"/>
  <c r="AS40" i="4"/>
  <c r="AT40" i="4"/>
  <c r="AQ42" i="4"/>
  <c r="AR42" i="4"/>
  <c r="AS42" i="4"/>
  <c r="AQ43" i="4"/>
  <c r="AR43" i="4"/>
  <c r="AS43" i="4"/>
  <c r="AQ46" i="4"/>
  <c r="AR46" i="4"/>
  <c r="AS46" i="4"/>
  <c r="AQ47" i="4"/>
  <c r="AR47" i="4"/>
  <c r="AS47" i="4"/>
  <c r="AQ50" i="4"/>
  <c r="AR50" i="4"/>
  <c r="AS50" i="4"/>
  <c r="AQ51" i="4"/>
  <c r="AR51" i="4"/>
  <c r="AS51" i="4"/>
  <c r="AT51" i="4"/>
  <c r="AQ55" i="4"/>
  <c r="AR55" i="4"/>
  <c r="AS55" i="4"/>
  <c r="AQ61" i="4"/>
  <c r="AW61" i="5" s="1"/>
  <c r="AR61" i="4"/>
  <c r="AS61" i="4"/>
  <c r="AQ64" i="4"/>
  <c r="AR64" i="4"/>
  <c r="AS64" i="4"/>
  <c r="O1" i="5"/>
  <c r="AT11" i="5"/>
  <c r="AM7" i="5"/>
  <c r="AQ7" i="5"/>
  <c r="AR7" i="5"/>
  <c r="AS7" i="5"/>
  <c r="AQ9" i="5"/>
  <c r="AR9" i="5"/>
  <c r="AS9" i="5"/>
  <c r="AQ11" i="5"/>
  <c r="AR11" i="5"/>
  <c r="AS11" i="5"/>
  <c r="AQ18" i="5"/>
  <c r="AR18" i="5"/>
  <c r="AS18" i="5"/>
  <c r="AT18" i="5"/>
  <c r="AM37" i="5"/>
  <c r="AQ37" i="5"/>
  <c r="AR37" i="5"/>
  <c r="AS37" i="5"/>
  <c r="AQ38" i="5"/>
  <c r="AR38" i="5"/>
  <c r="AS38" i="5"/>
  <c r="AQ39" i="5"/>
  <c r="AR39" i="5"/>
  <c r="AS39" i="5"/>
  <c r="AQ40" i="5"/>
  <c r="AR40" i="5"/>
  <c r="AS40" i="5"/>
  <c r="AQ42" i="5"/>
  <c r="AR42" i="5"/>
  <c r="AS42" i="5"/>
  <c r="AT42" i="5"/>
  <c r="AQ43" i="5"/>
  <c r="AR43" i="5"/>
  <c r="AS43" i="5"/>
  <c r="AQ46" i="5"/>
  <c r="AR46" i="5"/>
  <c r="AS46" i="5"/>
  <c r="AT46" i="5"/>
  <c r="AM47" i="5"/>
  <c r="AQ47" i="5"/>
  <c r="AW47" i="5" s="1"/>
  <c r="AR47" i="5"/>
  <c r="AS47" i="5"/>
  <c r="AQ50" i="5"/>
  <c r="AR50" i="5"/>
  <c r="AS50" i="5"/>
  <c r="AQ51" i="5"/>
  <c r="AR51" i="5"/>
  <c r="AS51" i="5"/>
  <c r="AQ55" i="5"/>
  <c r="AR55" i="5"/>
  <c r="AS55" i="5"/>
  <c r="AM61" i="5"/>
  <c r="AQ61" i="5"/>
  <c r="AR61" i="5"/>
  <c r="AS61" i="5"/>
  <c r="N5" i="6"/>
  <c r="O5" i="6"/>
  <c r="P5" i="6"/>
  <c r="N6" i="6"/>
  <c r="O6" i="6"/>
  <c r="P6" i="6"/>
  <c r="N7" i="6"/>
  <c r="O7" i="6"/>
  <c r="P7" i="6"/>
  <c r="N8" i="6"/>
  <c r="O8" i="6"/>
  <c r="P8" i="6"/>
  <c r="N9" i="6"/>
  <c r="O9" i="6"/>
  <c r="P9" i="6"/>
  <c r="N10" i="6"/>
  <c r="O10" i="6"/>
  <c r="P10" i="6"/>
  <c r="N11" i="6"/>
  <c r="O11" i="6"/>
  <c r="P11" i="6"/>
  <c r="N12" i="6"/>
  <c r="O12" i="6"/>
  <c r="P12" i="6"/>
  <c r="N13" i="6"/>
  <c r="O13" i="6"/>
  <c r="P13" i="6"/>
  <c r="N14" i="6"/>
  <c r="O14" i="6"/>
  <c r="P14" i="6"/>
  <c r="N15" i="6"/>
  <c r="O15" i="6"/>
  <c r="P15" i="6"/>
  <c r="N16" i="6"/>
  <c r="O16" i="6"/>
  <c r="P16" i="6"/>
  <c r="N17" i="6"/>
  <c r="O17" i="6"/>
  <c r="P17" i="6"/>
  <c r="N18" i="6"/>
  <c r="O18" i="6"/>
  <c r="P18" i="6"/>
  <c r="N19" i="6"/>
  <c r="O19" i="6"/>
  <c r="P19" i="6"/>
  <c r="N20" i="6"/>
  <c r="O20" i="6"/>
  <c r="P20" i="6"/>
  <c r="N21" i="6"/>
  <c r="O21" i="6"/>
  <c r="P21" i="6"/>
  <c r="N22" i="6"/>
  <c r="O22" i="6"/>
  <c r="P22" i="6"/>
  <c r="N23" i="6"/>
  <c r="O23" i="6"/>
  <c r="P23" i="6"/>
  <c r="AT5" i="3"/>
  <c r="M19" i="7"/>
  <c r="M11" i="7"/>
  <c r="M3" i="7"/>
  <c r="AT43" i="4"/>
  <c r="AT68" i="2"/>
  <c r="AT63" i="2"/>
  <c r="AT55" i="2"/>
  <c r="AT24" i="2"/>
  <c r="AT7" i="2"/>
  <c r="M22" i="7"/>
  <c r="M14" i="7"/>
  <c r="M6" i="7"/>
  <c r="AT63" i="3"/>
  <c r="AT29" i="3"/>
  <c r="AT58" i="2"/>
  <c r="AT29" i="2"/>
  <c r="AT10" i="2"/>
  <c r="AT50" i="4"/>
  <c r="AT38" i="4"/>
  <c r="AT6" i="3"/>
  <c r="AT59" i="2"/>
  <c r="AT30" i="2"/>
  <c r="AT14" i="2"/>
  <c r="M2" i="7"/>
  <c r="AT64" i="4"/>
  <c r="AT55" i="4"/>
  <c r="AT40" i="2"/>
  <c r="AT6" i="2"/>
  <c r="AT65" i="2"/>
  <c r="AT57" i="2"/>
  <c r="AT27" i="2"/>
  <c r="AW11" i="5"/>
  <c r="AW34" i="3"/>
  <c r="AW31" i="3"/>
  <c r="AW42" i="5" l="1"/>
  <c r="AW39" i="5"/>
  <c r="AT47" i="5"/>
  <c r="AT76" i="5"/>
  <c r="AT73" i="5"/>
  <c r="AT75" i="5"/>
  <c r="AT78" i="5"/>
  <c r="AT74" i="5"/>
  <c r="AT77" i="5"/>
  <c r="AW58" i="3"/>
  <c r="AW24" i="3"/>
  <c r="AW26" i="3"/>
  <c r="AW51" i="5"/>
  <c r="AW27" i="3"/>
  <c r="AW15" i="3"/>
  <c r="AW8" i="3"/>
  <c r="AT38" i="5"/>
  <c r="AT30" i="3"/>
  <c r="AT59" i="3"/>
  <c r="AT55" i="3"/>
  <c r="AT55" i="5"/>
  <c r="AT50" i="5"/>
  <c r="AT7" i="5"/>
  <c r="AT14" i="3"/>
  <c r="AT9" i="3"/>
  <c r="AT27" i="3"/>
  <c r="L15" i="7"/>
  <c r="AT10" i="3"/>
  <c r="AT60" i="3"/>
  <c r="AT26" i="3"/>
  <c r="AW10" i="3"/>
  <c r="AW59" i="3"/>
  <c r="AT51" i="5"/>
  <c r="AT58" i="3"/>
  <c r="AT15" i="3"/>
  <c r="AT8" i="3"/>
  <c r="M24" i="7"/>
  <c r="M17" i="7"/>
  <c r="M12" i="7"/>
  <c r="M5" i="7"/>
  <c r="AT34" i="3"/>
  <c r="AT70" i="5"/>
  <c r="AT71" i="5"/>
  <c r="M10" i="7"/>
  <c r="AT24" i="3"/>
  <c r="AT61" i="5"/>
  <c r="AT39" i="5"/>
  <c r="AT37" i="5"/>
  <c r="AT57" i="3"/>
  <c r="AT65" i="3"/>
  <c r="AT43" i="5"/>
  <c r="AT40" i="5"/>
  <c r="AT9" i="5"/>
  <c r="AT31" i="2"/>
  <c r="AW43" i="5"/>
  <c r="AW46" i="5"/>
  <c r="AT18" i="4"/>
  <c r="AW67" i="5"/>
  <c r="AW66" i="5"/>
  <c r="AW64" i="5"/>
  <c r="AW50" i="5"/>
  <c r="AW40" i="5"/>
  <c r="AW55" i="5"/>
  <c r="AW5" i="3"/>
  <c r="AW30" i="3"/>
  <c r="AW9" i="3"/>
  <c r="AW63" i="3"/>
  <c r="AW29" i="3"/>
  <c r="AW57" i="3"/>
  <c r="AW68" i="3"/>
  <c r="AW65" i="3"/>
  <c r="AW14" i="3"/>
  <c r="AW6" i="3"/>
  <c r="AW7" i="3"/>
  <c r="AT64" i="5"/>
  <c r="AT66" i="5"/>
  <c r="AT67" i="5"/>
  <c r="AW38" i="5"/>
  <c r="AW37" i="5"/>
  <c r="AW18" i="5"/>
  <c r="AW7" i="5"/>
  <c r="AT74" i="3"/>
  <c r="AT72" i="3"/>
  <c r="AT71" i="3"/>
  <c r="AT70" i="3"/>
  <c r="AT7" i="3"/>
  <c r="AT40" i="3"/>
  <c r="AT68" i="3"/>
  <c r="AW70" i="3"/>
  <c r="AW71" i="3"/>
  <c r="AW72" i="3"/>
  <c r="AT17" i="4"/>
  <c r="AT47" i="4"/>
  <c r="AT61" i="4"/>
  <c r="AT37" i="4"/>
  <c r="AT9" i="4"/>
  <c r="AT42" i="4"/>
  <c r="AT11" i="4"/>
  <c r="AT46" i="4"/>
  <c r="AT66" i="4"/>
  <c r="AT7" i="4"/>
  <c r="AT70" i="4"/>
  <c r="AT67" i="4"/>
  <c r="AW74" i="3"/>
  <c r="AT74" i="2"/>
  <c r="AT72" i="2"/>
  <c r="AT71" i="2"/>
  <c r="AT7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1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1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1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1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1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1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D2" authorId="0" shapeId="0" xr:uid="{00000000-0006-0000-0100-000007000000}">
      <text>
        <r>
          <rPr>
            <sz val="8"/>
            <color indexed="8"/>
            <rFont val="Tahoma"/>
            <family val="2"/>
          </rPr>
          <t xml:space="preserve">SÍ, si es una medida inmediatamente posterior a mantenimiento.
NO, en cualquier otro caso.
</t>
        </r>
        <r>
          <rPr>
            <b/>
            <sz val="8"/>
            <color indexed="8"/>
            <rFont val="Tahoma"/>
            <family val="2"/>
          </rPr>
          <t>Dejar aquí como NO</t>
        </r>
        <r>
          <rPr>
            <sz val="8"/>
            <color indexed="8"/>
            <rFont val="Tahoma"/>
            <family val="2"/>
          </rPr>
          <t>.</t>
        </r>
      </text>
    </comment>
    <comment ref="E2" authorId="0" shapeId="0" xr:uid="{00000000-0006-0000-0100-000008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F2" authorId="0" shapeId="0" xr:uid="{00000000-0006-0000-0100-000009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G2" authorId="0" shapeId="0" xr:uid="{00000000-0006-0000-0100-00000A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100-00000B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100-00000C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100-00000D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100-00000E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100-00000F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100-000010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100-000011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100-000012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100-000013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100-000014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100-000015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100-000016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100-000017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100-000018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100-000019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100-00001A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100-00001B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100-00001C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100-00001D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100-00001E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X2" authorId="0" shapeId="0" xr:uid="{00000000-0006-0000-0100-00001F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2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2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2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2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2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2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B2" authorId="0" shapeId="0" xr:uid="{00000000-0006-0000-0200-000007000000}">
      <text>
        <r>
          <rPr>
            <sz val="8"/>
            <color indexed="8"/>
            <rFont val="Tahoma"/>
            <family val="2"/>
          </rPr>
          <t>Fecha de la medida inmediatamente posterior al mantenimiento.</t>
        </r>
      </text>
    </comment>
    <comment ref="C2" authorId="0" shapeId="0" xr:uid="{00000000-0006-0000-0200-000008000000}">
      <text>
        <r>
          <rPr>
            <sz val="8"/>
            <color indexed="8"/>
            <rFont val="Tahoma"/>
            <family val="2"/>
          </rPr>
          <t>Hora de la medida inmediatamente posterior al mantenimiento.</t>
        </r>
      </text>
    </comment>
    <comment ref="D2" authorId="0" shapeId="0" xr:uid="{00000000-0006-0000-0200-000009000000}">
      <text>
        <r>
          <rPr>
            <sz val="8"/>
            <color indexed="8"/>
            <rFont val="Tahoma"/>
            <family val="2"/>
          </rPr>
          <t>Dejar SÍ, si se trata de una medida inmediatamente posterior a mantenimiento.
En caso contrario (fila vacía de datos), borrar el SÍ.</t>
        </r>
      </text>
    </comment>
    <comment ref="E2" authorId="0" shapeId="0" xr:uid="{00000000-0006-0000-0200-00000A000000}">
      <text>
        <r>
          <rPr>
            <sz val="8"/>
            <color indexed="8"/>
            <rFont val="Tahoma"/>
            <family val="2"/>
          </rPr>
          <t>Sólo rellenar si Mto.=Sí
Fecha de la medida previa al mantenimiento, en hoja  asociada.</t>
        </r>
      </text>
    </comment>
    <comment ref="F2" authorId="0" shapeId="0" xr:uid="{00000000-0006-0000-0200-00000B000000}">
      <text>
        <r>
          <rPr>
            <sz val="8"/>
            <color indexed="8"/>
            <rFont val="Tahoma"/>
            <family val="2"/>
          </rPr>
          <t>Sólo rellenar si Mto.=Sí
Hora de la medida previa al mantenimiento, en hoja  asociada.</t>
        </r>
      </text>
    </comment>
    <comment ref="G2" authorId="0" shapeId="0" xr:uid="{00000000-0006-0000-0200-00000C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200-00000D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200-00000E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200-00000F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200-000010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200-000011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200-000012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200-000013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200-000014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200-000015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200-000016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200-000017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200-000018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200-000019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200-00001A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200-00001B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200-00001C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200-00001D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200-00001E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200-00001F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200-000020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W2" authorId="0" shapeId="0" xr:uid="{00000000-0006-0000-0200-000021000000}">
      <text>
        <r>
          <rPr>
            <sz val="8"/>
            <color indexed="8"/>
            <rFont val="Tahoma"/>
            <family val="2"/>
          </rPr>
          <t>Delta_h=h_después-h_antes, cambio de la longitud de la estaca (positivo, si extensión; negativo, si replantado).
Sólo se calcula en la hoja de mantenimiento.</t>
        </r>
      </text>
    </comment>
    <comment ref="AX2" authorId="0" shapeId="0" xr:uid="{00000000-0006-0000-0200-000022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3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3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3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3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3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2EDA176B-B605-4282-9A89-B536028560F9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D2" authorId="0" shapeId="0" xr:uid="{00000000-0006-0000-0300-000007000000}">
      <text>
        <r>
          <rPr>
            <sz val="8"/>
            <color indexed="8"/>
            <rFont val="Tahoma"/>
            <family val="2"/>
          </rPr>
          <t xml:space="preserve">SÍ, si es una medida inmediatamente posterior a mantenimiento.
NO, en cualquier otro caso.
</t>
        </r>
        <r>
          <rPr>
            <b/>
            <sz val="8"/>
            <color indexed="8"/>
            <rFont val="Tahoma"/>
            <family val="2"/>
          </rPr>
          <t>Dejar aquí como NO</t>
        </r>
        <r>
          <rPr>
            <sz val="8"/>
            <color indexed="8"/>
            <rFont val="Tahoma"/>
            <family val="2"/>
          </rPr>
          <t>.</t>
        </r>
      </text>
    </comment>
    <comment ref="E2" authorId="0" shapeId="0" xr:uid="{00000000-0006-0000-0300-000008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F2" authorId="0" shapeId="0" xr:uid="{00000000-0006-0000-0300-000009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G2" authorId="0" shapeId="0" xr:uid="{00000000-0006-0000-0300-00000A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300-00000B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300-00000C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300-00000D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300-00000E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300-00000F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300-000010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300-000011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300-000012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300-000013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300-000014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300-000015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300-000016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300-000017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300-000018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300-000019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300-00001A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300-00001B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300-00001C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300-00001D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300-00001E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X2" authorId="0" shapeId="0" xr:uid="{00000000-0006-0000-0300-00001F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  <comment ref="A5" authorId="0" shapeId="0" xr:uid="{00000000-0006-0000-0300-000020000000}">
      <text>
        <r>
          <rPr>
            <sz val="8"/>
            <color indexed="8"/>
            <rFont val="Tahoma"/>
            <family val="2"/>
          </rPr>
          <t>EJ01=EH01 (ver allí)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4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4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4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4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4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4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B2" authorId="0" shapeId="0" xr:uid="{00000000-0006-0000-0400-000007000000}">
      <text>
        <r>
          <rPr>
            <sz val="8"/>
            <color indexed="8"/>
            <rFont val="Tahoma"/>
            <family val="2"/>
          </rPr>
          <t>Fecha de la medida inmediatamente posterior al mantenimiento.</t>
        </r>
      </text>
    </comment>
    <comment ref="C2" authorId="0" shapeId="0" xr:uid="{00000000-0006-0000-0400-000008000000}">
      <text>
        <r>
          <rPr>
            <sz val="8"/>
            <color indexed="8"/>
            <rFont val="Tahoma"/>
            <family val="2"/>
          </rPr>
          <t>Hora de la medida inmediatamente posterior al mantenimiento.</t>
        </r>
      </text>
    </comment>
    <comment ref="D2" authorId="0" shapeId="0" xr:uid="{00000000-0006-0000-0400-000009000000}">
      <text>
        <r>
          <rPr>
            <sz val="8"/>
            <color indexed="8"/>
            <rFont val="Tahoma"/>
            <family val="2"/>
          </rPr>
          <t>Dejar SÍ, si se trata de una medida inmediatamente posterior a mantenimiento.
En caso contrario (fila vacía de datos), borrar el SÍ.</t>
        </r>
      </text>
    </comment>
    <comment ref="E2" authorId="0" shapeId="0" xr:uid="{00000000-0006-0000-0400-00000A000000}">
      <text>
        <r>
          <rPr>
            <sz val="8"/>
            <color indexed="8"/>
            <rFont val="Tahoma"/>
            <family val="2"/>
          </rPr>
          <t>Sólo rellenar si Mto.=Sí
Fecha de la medida previa al mantenimiento, en hoja  asociada.</t>
        </r>
      </text>
    </comment>
    <comment ref="F2" authorId="0" shapeId="0" xr:uid="{00000000-0006-0000-0400-00000B000000}">
      <text>
        <r>
          <rPr>
            <sz val="8"/>
            <color indexed="8"/>
            <rFont val="Tahoma"/>
            <family val="2"/>
          </rPr>
          <t>Sólo rellenar si Mto.=Sí
Hora de la medida previa al mantenimiento, en hoja  asociada.</t>
        </r>
      </text>
    </comment>
    <comment ref="G2" authorId="0" shapeId="0" xr:uid="{00000000-0006-0000-0400-00000C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400-00000D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400-00000E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400-00000F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400-000010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400-000011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400-000012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400-000013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400-000014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400-000015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400-000016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400-000017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400-000018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400-000019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400-00001A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400-00001B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400-00001C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400-00001D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400-00001E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400-00001F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400-000020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W2" authorId="0" shapeId="0" xr:uid="{00000000-0006-0000-0400-000021000000}">
      <text>
        <r>
          <rPr>
            <sz val="8"/>
            <color indexed="8"/>
            <rFont val="Tahoma"/>
            <family val="2"/>
          </rPr>
          <t>Delta_h=h_después-h_antes, cambio de la longitud de la estaca (positivo, si extensión; negativo, si replantado).
Sólo se calcula en la hoja de mantenimiento.</t>
        </r>
      </text>
    </comment>
    <comment ref="AX2" authorId="0" shapeId="0" xr:uid="{00000000-0006-0000-0400-000022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  <comment ref="A5" authorId="0" shapeId="0" xr:uid="{00000000-0006-0000-0400-000023000000}">
      <text>
        <r>
          <rPr>
            <sz val="8"/>
            <color indexed="8"/>
            <rFont val="Tahoma"/>
            <family val="2"/>
          </rPr>
          <t>EJ01=EH01 (ver allí)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5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5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5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5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D2" authorId="0" shapeId="0" xr:uid="{00000000-0006-0000-0500-000005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E2" authorId="0" shapeId="0" xr:uid="{00000000-0006-0000-0500-000006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F2" authorId="0" shapeId="0" xr:uid="{00000000-0006-0000-0500-000007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G2" authorId="0" shapeId="0" xr:uid="{00000000-0006-0000-0500-000008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H2" authorId="0" shapeId="0" xr:uid="{00000000-0006-0000-0500-000009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I2" authorId="0" shapeId="0" xr:uid="{00000000-0006-0000-0500-00000A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J2" authorId="0" shapeId="0" xr:uid="{00000000-0006-0000-0500-00000B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K2" authorId="0" shapeId="0" xr:uid="{00000000-0006-0000-0500-00000C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L2" authorId="0" shapeId="0" xr:uid="{00000000-0006-0000-0500-00000D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N2" authorId="0" shapeId="0" xr:uid="{00000000-0006-0000-0500-00000E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O2" authorId="0" shapeId="0" xr:uid="{00000000-0006-0000-0500-00000F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P2" authorId="0" shapeId="0" xr:uid="{00000000-0006-0000-0500-000010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1" authorId="0" shapeId="0" xr:uid="{00000000-0006-0000-0600-000001000000}">
      <text>
        <r>
          <rPr>
            <sz val="8"/>
            <color indexed="8"/>
            <rFont val="Tahoma"/>
            <family val="2"/>
          </rPr>
          <t xml:space="preserve">Easting UTM del punto de ubicación de antena DGPS para estacas inclinadas sepultadas medidas con metodología no estándar propia de este caso.
</t>
        </r>
      </text>
    </comment>
    <comment ref="C1" authorId="0" shapeId="0" xr:uid="{00000000-0006-0000-0600-000002000000}">
      <text>
        <r>
          <rPr>
            <sz val="8"/>
            <color indexed="8"/>
            <rFont val="Tahoma"/>
            <family val="2"/>
          </rPr>
          <t>Northing UTM del punto de ubicación de antena DGPS para estacas inclinadas sepultadas medidas con metodología no estándar propia de este caso.</t>
        </r>
      </text>
    </comment>
    <comment ref="D1" authorId="0" shapeId="0" xr:uid="{00000000-0006-0000-0600-000003000000}">
      <text>
        <r>
          <rPr>
            <sz val="8"/>
            <color indexed="8"/>
            <rFont val="Tahoma"/>
            <family val="2"/>
          </rPr>
          <t>Altitud sobre elipsoide WGS84 del punto de ubicación de antena DGPSpara estacas inclinadas sepultadas medidas con metodología no estándar propia de este caso.</t>
        </r>
      </text>
    </comment>
    <comment ref="E1" authorId="0" shapeId="0" xr:uid="{00000000-0006-0000-0600-000004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F1" authorId="0" shapeId="0" xr:uid="{00000000-0006-0000-0600-000005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G1" authorId="0" shapeId="0" xr:uid="{00000000-0006-0000-0600-000006000000}">
      <text>
        <r>
          <rPr>
            <sz val="8"/>
            <color indexed="8"/>
            <rFont val="Tahoma"/>
            <family val="2"/>
          </rPr>
          <t>Distancia VERTICAL NEGATIVA desde el nivel de la superficie de la nieve hasta el extremo superior de la estaca inclinada y hundida.</t>
        </r>
      </text>
    </comment>
    <comment ref="H1" authorId="0" shapeId="0" xr:uid="{00000000-0006-0000-0600-000007000000}">
      <text>
        <r>
          <rPr>
            <sz val="8"/>
            <color indexed="8"/>
            <rFont val="Tahoma"/>
            <family val="2"/>
          </rPr>
          <t>Distancia VERTICAL desde nivel de la superficie de la nieve hasta el extremo superior de la estaca auxiliar de medida (vertical) que intersecta con el extremo superior de la  inclinada y hundida (debería aflorar y ser positivo).</t>
        </r>
      </text>
    </comment>
    <comment ref="I1" authorId="0" shapeId="0" xr:uid="{00000000-0006-0000-0600-000008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  <comment ref="J1" authorId="0" shapeId="0" xr:uid="{00000000-0006-0000-0600-000009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K1" authorId="0" shapeId="0" xr:uid="{00000000-0006-0000-0600-00000A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L1" authorId="0" shapeId="0" xr:uid="{00000000-0006-0000-0600-00000B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M1" authorId="0" shapeId="0" xr:uid="{00000000-0006-0000-0600-00000C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N1" authorId="0" shapeId="0" xr:uid="{00000000-0006-0000-0600-00000D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3" authorId="0" shapeId="0" xr:uid="{00000000-0006-0000-0700-000001000000}">
      <text>
        <r>
          <rPr>
            <sz val="12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D3" authorId="0" shapeId="0" xr:uid="{00000000-0006-0000-0700-000002000000}">
      <text>
        <r>
          <rPr>
            <sz val="12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E3" authorId="0" shapeId="0" xr:uid="{00000000-0006-0000-0700-000003000000}">
      <text>
        <r>
          <rPr>
            <sz val="12"/>
            <color indexed="8"/>
            <rFont val="Tahoma"/>
            <family val="2"/>
          </rPr>
          <t xml:space="preserve">Ángulo de elevación respeco a la horizontal, en grados (complementario de desviación respecto a la vertical). </t>
        </r>
      </text>
    </comment>
    <comment ref="F3" authorId="0" shapeId="0" xr:uid="{00000000-0006-0000-0700-000004000000}">
      <text>
        <r>
          <rPr>
            <sz val="12"/>
            <color indexed="8"/>
            <rFont val="Tahoma"/>
            <family val="2"/>
          </rPr>
          <t>Azimut magnético (en grados) de la estaca inclinada, medido desde el norte magnético en sentido de las agujas del reloj.</t>
        </r>
      </text>
    </comment>
    <comment ref="G3" authorId="0" shapeId="0" xr:uid="{00000000-0006-0000-0700-000005000000}">
      <text>
        <r>
          <rPr>
            <sz val="12"/>
            <color indexed="8"/>
            <rFont val="Tahoma"/>
            <family val="2"/>
          </rPr>
          <t>Pendiente (en grados) de la superficie del glaciar en la dirección de la inclinación de la estaca (sólo necesario para estacas inclinadas en zonas de pendiente apreciable de la superficie).</t>
        </r>
      </text>
    </comment>
    <comment ref="H3" authorId="0" shapeId="0" xr:uid="{00000000-0006-0000-0700-000006000000}">
      <text>
        <r>
          <rPr>
            <sz val="12"/>
            <color indexed="8"/>
            <rFont val="Tahoma"/>
            <family val="2"/>
          </rPr>
          <t>Espesor de nieve junto a la estaca (medido con sonda de nieve).
Tomar al menos cinco valores, si son parecidos, e incluso más si no lo son.</t>
        </r>
      </text>
    </comment>
    <comment ref="I3" authorId="0" shapeId="0" xr:uid="{00000000-0006-0000-0700-000007000000}">
      <text>
        <r>
          <rPr>
            <sz val="12"/>
            <color indexed="8"/>
            <rFont val="Tahoma"/>
            <family val="2"/>
          </rPr>
          <t>Longitud total de la estaca
(incluyendo parte enterrada).
Para estaca ampliada, sólo longitud del último tramo.</t>
        </r>
      </text>
    </comment>
    <comment ref="J3" authorId="0" shapeId="0" xr:uid="{00000000-0006-0000-0700-000008000000}">
      <text>
        <r>
          <rPr>
            <sz val="12"/>
            <color indexed="8"/>
            <rFont val="Tahoma"/>
            <family val="2"/>
          </rPr>
          <t>Por ejemplo:
Perdida (ablación), perdida (calving), etc.
Incluir valor de densidad a 0,5 m profundidad
para estacas de línea de ablación EH31-EJ06.</t>
        </r>
      </text>
    </comment>
  </commentList>
</comments>
</file>

<file path=xl/sharedStrings.xml><?xml version="1.0" encoding="utf-8"?>
<sst xmlns="http://schemas.openxmlformats.org/spreadsheetml/2006/main" count="1145" uniqueCount="359">
  <si>
    <t>PARÁMETROS DE DESCARGA AUTOMÁTICA DESDE GPS</t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</si>
  <si>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(E-UTM)</t>
    </r>
  </si>
  <si>
    <t>Easting UTM del punto de ubicación de antena DGPS.</t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</si>
  <si>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(N-UTM)</t>
    </r>
  </si>
  <si>
    <t>Northing UTM del punto de ubicación de antena DGPS.</t>
  </si>
  <si>
    <r>
      <rPr>
        <b/>
        <sz val="10"/>
        <rFont val="Arial"/>
        <family val="2"/>
      </rPr>
      <t>Z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(WGS84)</t>
    </r>
  </si>
  <si>
    <t>Altitud sobre elipsoide WGS84 del punto de ubicación de antena DGPS.</t>
  </si>
  <si>
    <t>Tipo punto</t>
  </si>
  <si>
    <t>Código (propio nuestro) punto DGPS:
RTK=Real Time Kinematics,
RTCM=Estándar de la "Radio Technical Commission for Maritime Services",
PP=Post-proceso.</t>
  </si>
  <si>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 xml:space="preserve"> ant</t>
    </r>
  </si>
  <si>
    <r>
      <rPr>
        <sz val="10"/>
        <rFont val="Arial"/>
        <family val="2"/>
      </rPr>
      <t xml:space="preserve">Altura de la antena DGPS respecto al punto que se desea medir (en nuestro caso, la parte superior de la estaca de medida, sea la estaca real o la auxiliar). Se utiliza para corregir por la altura del adaptador de antena o la diferencia de altura de distintos tipos de antena (en versiones anteriores, era un parámetro de descarga automática desde el GPS pero </t>
    </r>
    <r>
      <rPr>
        <b/>
        <sz val="10"/>
        <rFont val="Arial"/>
        <family val="2"/>
      </rPr>
      <t>ahora es un parámetro de anotación manual</t>
    </r>
    <r>
      <rPr>
        <sz val="10"/>
        <rFont val="Arial"/>
        <family val="2"/>
      </rPr>
      <t>; ésta es la razón de su ubicación en la hoja -se ha mantenido la original-, aunque se ha cambiado el código de color del campo, para hacerlo coincidir con el de parámetro de anotación manual).</t>
    </r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</si>
  <si>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(E-UTM)</t>
    </r>
  </si>
  <si>
    <t>Easting UTM del punto base DGPS respecto al que se ha tomado la medida.</t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</si>
  <si>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(N-UTM)</t>
    </r>
  </si>
  <si>
    <t>Northing UTM del punto base DGPS respecto al que se ha tomado la medida.</t>
  </si>
  <si>
    <r>
      <rPr>
        <b/>
        <sz val="10"/>
        <rFont val="Arial"/>
        <family val="2"/>
      </rPr>
      <t>Z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(WGS84)</t>
    </r>
  </si>
  <si>
    <t>Altitud sobre el elipsoide WGS84 del punto base DGPS respecto al que se ha tomado la medida.</t>
  </si>
  <si>
    <t>PARÁMETROS MEDIDOS EN CAMPO</t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</si>
  <si>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>(m)</t>
    </r>
  </si>
  <si>
    <t>Distancia desde el nivel de la superficie de la nieve hasta el extremo superior de la estaca real, medido a lo largo de longitud de ésta, esté vertical o inclinada (positivo para estaca que aflora; negativo para estaca hundida).</t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</si>
  <si>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(m)</t>
    </r>
  </si>
  <si>
    <t>Distancia desde el nivel de la superficie de la nieve hasta el extremo superior de la estaca en la que se efectúa la medida DGPS, sea la propia estaca o una estaca auxiliar (DEBE SER SIEMPRE POSITIVO, para que la antena "vea" a los satélites).</t>
  </si>
  <si>
    <t>e(deg)</t>
  </si>
  <si>
    <t>Ángulo de elevación (en grados sexagesimales, de 0 a 90º) de la estaca respecto a la horizontal.
Es el complementario del ángulo cenital (o desviación respecto a la vertical).</t>
  </si>
  <si>
    <r>
      <rPr>
        <b/>
        <sz val="10"/>
        <rFont val="Symbol"/>
        <family val="1"/>
        <charset val="2"/>
      </rPr>
      <t>f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(deg)</t>
    </r>
  </si>
  <si>
    <t>Rumbo (en grados sexagesimales, 0 a 360º) de la estaca inclinada, medido desde el norte magnético en sentido de las agujas del reloj (denominado retrógrado). En la hoja de cálculo se convertirá a azimut geográfico, teniendo en cuenta la declinación magnética (13º Este en Livingston, positivo a efectos de cálculo) y convergencia de cuadrícula (2,3º aprox en Johnsons.Hurd).</t>
  </si>
  <si>
    <r>
      <rPr>
        <b/>
        <sz val="10"/>
        <rFont val="Symbol"/>
        <family val="1"/>
        <charset val="2"/>
      </rPr>
      <t>a</t>
    </r>
    <r>
      <rPr>
        <b/>
        <sz val="10"/>
        <rFont val="Arial"/>
        <family val="2"/>
      </rPr>
      <t>(deg)</t>
    </r>
  </si>
  <si>
    <t>Pendiente (en grados sexagesimales, de 0 a 90º) de la superficie del glaciar en la dirección de la inclinación de la estaca (sólo necesario para estacas inclinadas en zonas de pendiente apreciable de la superficie).</t>
  </si>
  <si>
    <t>H (m)
valores individuales</t>
  </si>
  <si>
    <t xml:space="preserve">Espesor de nieve junto a la estaca, medido con sonda de nieve. Se toman varios valores, al menos cinco si son parecidos, e incluso más si difieren significativamente (los rehielos pueden falsear esta medida). Si un número de ellos tienen valores similares y otros difieren significativamente, sólo los primeros se utilizarán para la media, pero todos los valores quedarán registrados (separados en utilizados y no utilizados en la media). </t>
  </si>
  <si>
    <t>l(m)</t>
  </si>
  <si>
    <t>Longitud total de la estaca (incluyendo parte enterrada). Para estaca ampliada uniendo un tramo a una estaca existente, sólo longitud del último tramo.</t>
  </si>
  <si>
    <t>PARÁMETROS CALCULADOS AUTOMÁTICAMENTE EN LA HOJA</t>
  </si>
  <si>
    <t>H(m)</t>
  </si>
  <si>
    <t>Media de los valores del espesor de nieve H.</t>
  </si>
  <si>
    <t>Ver definición en "párámetros de anotación manual". Para estacas inclinadas en zona de ablación, si l no se conoce se estima automáticamente.</t>
  </si>
  <si>
    <t>h(m)</t>
  </si>
  <si>
    <r>
      <rPr>
        <sz val="10"/>
        <rFont val="Arial"/>
        <family val="2"/>
      </rPr>
      <t xml:space="preserve">Distancia desde el nivel de la superficie de la nieve hasta el extremo superior de la estaca </t>
    </r>
    <r>
      <rPr>
        <i/>
        <sz val="10"/>
        <rFont val="Arial"/>
        <family val="2"/>
      </rPr>
      <t>vertical</t>
    </r>
    <r>
      <rPr>
        <sz val="10"/>
        <rFont val="Arial"/>
        <family val="2"/>
      </rPr>
      <t xml:space="preserve"> (si estuviera inclinada, tras devolverla virtualmente a la posición vertical). Para estaca vertical, coincide con h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>.</t>
    </r>
  </si>
  <si>
    <t>X,Y,Z</t>
  </si>
  <si>
    <t>Coordenadas X, (Easting) e Y (Northing) UTM y altitud, sobre el elipsoide WGS84, del extremo superior de la estaca.</t>
  </si>
  <si>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h (m)</t>
    </r>
  </si>
  <si>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h=h(hoja mto.)-h(hoja ordinaria), cambio de la longitud de la estaca al efectuar mantenimiento (positivo, si extensión; negativo, si replantado). Se calcula en la hoja de mantenimiento.</t>
    </r>
  </si>
  <si>
    <t>Campaña</t>
  </si>
  <si>
    <t>Tanda</t>
  </si>
  <si>
    <t>Operador</t>
  </si>
  <si>
    <t>Jaime Otero y Unai Letamendia</t>
  </si>
  <si>
    <t>Instrumento</t>
  </si>
  <si>
    <t>Trimble R8S+TSC3(bluetooth)</t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</si>
  <si>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,Y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,Z</t>
    </r>
    <r>
      <rPr>
        <b/>
        <vertAlign val="subscript"/>
        <sz val="10"/>
        <rFont val="Arial"/>
        <family val="2"/>
      </rPr>
      <t>0</t>
    </r>
  </si>
  <si>
    <t>Id. estaca</t>
  </si>
  <si>
    <t>Fecha</t>
  </si>
  <si>
    <t>Hora (UT)</t>
  </si>
  <si>
    <t>¿Mto.?</t>
  </si>
  <si>
    <t>PreMtoFecha</t>
  </si>
  <si>
    <t>PreMtoHora</t>
  </si>
  <si>
    <t>Fichero fuente</t>
  </si>
  <si>
    <t>Código</t>
  </si>
  <si>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ant</t>
    </r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</si>
  <si>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 xml:space="preserve">r </t>
    </r>
    <r>
      <rPr>
        <b/>
        <sz val="10"/>
        <rFont val="Arial"/>
        <family val="2"/>
      </rPr>
      <t>(N-UTM)</t>
    </r>
  </si>
  <si>
    <t>Comentarios sobre medida GPS</t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</si>
  <si>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(m)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</si>
  <si>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(m)</t>
    </r>
  </si>
  <si>
    <t>H usados en media (m)</t>
  </si>
  <si>
    <t>H no usados en media (m)</t>
  </si>
  <si>
    <t>H (m)</t>
  </si>
  <si>
    <t>l (m)</t>
  </si>
  <si>
    <t>Comentarios medidas manuales</t>
  </si>
  <si>
    <t>Recursos gráficos asociados</t>
  </si>
  <si>
    <t>h (m)</t>
  </si>
  <si>
    <t>X (E-UTM)</t>
  </si>
  <si>
    <t>Y (N-UTM)</t>
  </si>
  <si>
    <t>Z (WGS84)</t>
  </si>
  <si>
    <t>¿40?</t>
  </si>
  <si>
    <t>Coment. sobre medida corregida</t>
  </si>
  <si>
    <t>dd-mm-aa</t>
  </si>
  <si>
    <t>hh:mm</t>
  </si>
  <si>
    <t>Dejar NO</t>
  </si>
  <si>
    <t>Dejar vacío</t>
  </si>
  <si>
    <t>xxxxxx,xx</t>
  </si>
  <si>
    <t>yyyyyyy,yy</t>
  </si>
  <si>
    <t>zzz,zz</t>
  </si>
  <si>
    <t>xxxxxx,xxx</t>
  </si>
  <si>
    <t>yyyyyyy,yyy</t>
  </si>
  <si>
    <t>zzz,zzz</t>
  </si>
  <si>
    <t>hh,hh</t>
  </si>
  <si>
    <t>g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</si>
  <si>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</si>
  <si>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</si>
  <si>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</si>
  <si>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</si>
  <si>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</si>
  <si>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</si>
  <si>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</si>
  <si>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</si>
  <si>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</si>
  <si>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HH,HH</t>
  </si>
  <si>
    <t>ll,ll</t>
  </si>
  <si>
    <t>EH01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</si>
  <si>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</si>
  <si>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</si>
  <si>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</si>
  <si>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</si>
  <si>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</si>
  <si>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</si>
  <si>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</si>
  <si>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</si>
  <si>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</si>
  <si>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</si>
  <si>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</si>
  <si>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</si>
  <si>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</si>
  <si>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</si>
  <si>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</si>
  <si>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</si>
  <si>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</si>
  <si>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</si>
  <si>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</si>
  <si>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</si>
  <si>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</si>
  <si>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</si>
  <si>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</si>
  <si>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</si>
  <si>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</si>
  <si>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</si>
  <si>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</si>
  <si>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</si>
  <si>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</si>
  <si>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</si>
  <si>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</si>
  <si>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</si>
  <si>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</si>
  <si>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</si>
  <si>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</si>
  <si>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</si>
  <si>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</si>
  <si>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</si>
  <si>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</si>
  <si>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</si>
  <si>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</si>
  <si>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</si>
  <si>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</si>
  <si>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</si>
  <si>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</si>
  <si>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</si>
  <si>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</si>
  <si>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</si>
  <si>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EH50</t>
  </si>
  <si>
    <t>EH51</t>
  </si>
  <si>
    <t>EH52</t>
  </si>
  <si>
    <t>EH53</t>
  </si>
  <si>
    <t>EH54</t>
  </si>
  <si>
    <t>EH55</t>
  </si>
  <si>
    <t>EH56</t>
  </si>
  <si>
    <t>EH57</t>
  </si>
  <si>
    <t>EH58</t>
  </si>
  <si>
    <t>EH59</t>
  </si>
  <si>
    <t>EH60</t>
  </si>
  <si>
    <t>EH61</t>
  </si>
  <si>
    <t>EH62</t>
  </si>
  <si>
    <t>EH63</t>
  </si>
  <si>
    <t>EH64</t>
  </si>
  <si>
    <t>EH65</t>
  </si>
  <si>
    <t>EH66</t>
  </si>
  <si>
    <t>EH67</t>
  </si>
  <si>
    <t>EH68</t>
  </si>
  <si>
    <t>EH69</t>
  </si>
  <si>
    <t>EH70</t>
  </si>
  <si>
    <t>Mto. estacas HURD 1ª fase 2020/2021</t>
  </si>
  <si>
    <t>SÍ o vacío</t>
  </si>
  <si>
    <t>EJ01</t>
  </si>
  <si>
    <t>EJ02</t>
  </si>
  <si>
    <t>EJ03</t>
  </si>
  <si>
    <t>EJ03r</t>
  </si>
  <si>
    <t>EJ04</t>
  </si>
  <si>
    <t>EJ04r</t>
  </si>
  <si>
    <t>EJ05</t>
  </si>
  <si>
    <t>EJ05r</t>
  </si>
  <si>
    <t>EJ06</t>
  </si>
  <si>
    <t>EJ06r</t>
  </si>
  <si>
    <t>EJ07</t>
  </si>
  <si>
    <t>EJ08</t>
  </si>
  <si>
    <t>EJ09</t>
  </si>
  <si>
    <t>EJ10</t>
  </si>
  <si>
    <t>EJ10r</t>
  </si>
  <si>
    <t>EJ11</t>
  </si>
  <si>
    <t>EJ11r</t>
  </si>
  <si>
    <t>EJ12</t>
  </si>
  <si>
    <t>EJ13</t>
  </si>
  <si>
    <t>EJ14</t>
  </si>
  <si>
    <t>EJ14r</t>
  </si>
  <si>
    <t>EJ15</t>
  </si>
  <si>
    <t>EJ16</t>
  </si>
  <si>
    <t>EJ16r</t>
  </si>
  <si>
    <t>EJ17</t>
  </si>
  <si>
    <t>EJ17r</t>
  </si>
  <si>
    <t>EJ18</t>
  </si>
  <si>
    <t>EJ18r</t>
  </si>
  <si>
    <t>EJ19</t>
  </si>
  <si>
    <t>EJ19r</t>
  </si>
  <si>
    <t>EJ20</t>
  </si>
  <si>
    <t>EJ20r</t>
  </si>
  <si>
    <t>EJ21</t>
  </si>
  <si>
    <t>EJ22</t>
  </si>
  <si>
    <t>EJ23</t>
  </si>
  <si>
    <t>EJ24</t>
  </si>
  <si>
    <t>EJ25</t>
  </si>
  <si>
    <t>EJ26</t>
  </si>
  <si>
    <t>EJ27</t>
  </si>
  <si>
    <t>EJ28</t>
  </si>
  <si>
    <t>EJ29</t>
  </si>
  <si>
    <t>EJ30</t>
  </si>
  <si>
    <t>EJ31</t>
  </si>
  <si>
    <t>EJ32</t>
  </si>
  <si>
    <t>EJ33</t>
  </si>
  <si>
    <t>EJ34</t>
  </si>
  <si>
    <t>EJ35</t>
  </si>
  <si>
    <t>EJ36</t>
  </si>
  <si>
    <t>EJ37</t>
  </si>
  <si>
    <t>EJ38</t>
  </si>
  <si>
    <t>EJ39</t>
  </si>
  <si>
    <t>EJ40</t>
  </si>
  <si>
    <t>EJ41</t>
  </si>
  <si>
    <t>EJ42</t>
  </si>
  <si>
    <t>EJ43</t>
  </si>
  <si>
    <t>EJ44</t>
  </si>
  <si>
    <t>EJ45</t>
  </si>
  <si>
    <t>EJ46</t>
  </si>
  <si>
    <t>EJ47</t>
  </si>
  <si>
    <t>EJ48</t>
  </si>
  <si>
    <t>EJ49</t>
  </si>
  <si>
    <t>EJ50</t>
  </si>
  <si>
    <t>EJ51</t>
  </si>
  <si>
    <t>EJ52</t>
  </si>
  <si>
    <t>EJ53</t>
  </si>
  <si>
    <t>EJ54</t>
  </si>
  <si>
    <t>EJ55</t>
  </si>
  <si>
    <t>EJ56</t>
  </si>
  <si>
    <t>SÍ</t>
  </si>
  <si>
    <t>Medidas del punto de control junto al refugio de montaña</t>
  </si>
  <si>
    <t>Id.punto</t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</si>
  <si>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(E-UTM)</t>
    </r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</si>
  <si>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(N-UTM)</t>
    </r>
  </si>
  <si>
    <r>
      <rPr>
        <b/>
        <sz val="10"/>
        <rFont val="Arial"/>
        <family val="2"/>
      </rPr>
      <t>Z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(WGS84)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</si>
  <si>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>* (m)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</si>
  <si>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(m)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</si>
  <si>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= 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*(m)</t>
    </r>
  </si>
  <si>
    <t>ESTACAS CAMPO</t>
  </si>
  <si>
    <t>Campaña:</t>
  </si>
  <si>
    <t>Tanda:</t>
  </si>
  <si>
    <t>Fecha:</t>
  </si>
  <si>
    <t>Operador:</t>
  </si>
  <si>
    <t>Estaca</t>
  </si>
  <si>
    <t>Hora
local</t>
  </si>
  <si>
    <r>
      <rPr>
        <sz val="18"/>
        <rFont val="Arial"/>
        <family val="2"/>
      </rPr>
      <t>h</t>
    </r>
    <r>
      <rPr>
        <vertAlign val="subscript"/>
        <sz val="18"/>
        <rFont val="Arial"/>
        <family val="2"/>
      </rPr>
      <t>e</t>
    </r>
    <r>
      <rPr>
        <sz val="18"/>
        <rFont val="Arial"/>
        <family val="2"/>
      </rPr>
      <t>(cm)</t>
    </r>
  </si>
  <si>
    <r>
      <rPr>
        <sz val="18"/>
        <rFont val="Arial"/>
        <family val="2"/>
      </rPr>
      <t>h</t>
    </r>
    <r>
      <rPr>
        <vertAlign val="subscript"/>
        <sz val="18"/>
        <rFont val="Arial"/>
        <family val="2"/>
      </rPr>
      <t>m</t>
    </r>
    <r>
      <rPr>
        <sz val="18"/>
        <rFont val="Arial"/>
        <family val="2"/>
      </rPr>
      <t>(cm)</t>
    </r>
  </si>
  <si>
    <t>e
(deg)</t>
  </si>
  <si>
    <r>
      <rPr>
        <sz val="18"/>
        <rFont val="Symbol"/>
        <family val="1"/>
        <charset val="2"/>
      </rPr>
      <t>f</t>
    </r>
    <r>
      <rPr>
        <vertAlign val="subscript"/>
        <sz val="18"/>
        <rFont val="Arial"/>
        <family val="2"/>
      </rPr>
      <t xml:space="preserve">m
</t>
    </r>
    <r>
      <rPr>
        <sz val="18"/>
        <rFont val="Arial"/>
        <family val="2"/>
      </rPr>
      <t>(deg)</t>
    </r>
  </si>
  <si>
    <r>
      <rPr>
        <sz val="18"/>
        <rFont val="Symbol"/>
        <family val="1"/>
        <charset val="2"/>
      </rPr>
      <t xml:space="preserve">a
</t>
    </r>
    <r>
      <rPr>
        <sz val="18"/>
        <rFont val="Arial"/>
        <family val="2"/>
      </rPr>
      <t>(deg)</t>
    </r>
  </si>
  <si>
    <t>H (cm)
(varios valores)</t>
  </si>
  <si>
    <t>l (cm)</t>
  </si>
  <si>
    <t>Comentarios</t>
  </si>
  <si>
    <t>NO</t>
  </si>
  <si>
    <t>EH71</t>
  </si>
  <si>
    <t>EJ57</t>
  </si>
  <si>
    <t>EJ58</t>
  </si>
  <si>
    <t>EJ59</t>
  </si>
  <si>
    <t>EJ60</t>
  </si>
  <si>
    <t>a</t>
  </si>
  <si>
    <t>Ricardo Rodríguez Cielos</t>
  </si>
  <si>
    <t>2023-2024</t>
  </si>
  <si>
    <t>EH72</t>
  </si>
  <si>
    <t>EH73</t>
  </si>
  <si>
    <t>EH74</t>
  </si>
  <si>
    <t>EH75</t>
  </si>
  <si>
    <t>EJ61</t>
  </si>
  <si>
    <t>EJ62</t>
  </si>
  <si>
    <t>Estacas HURD 1ª fase 2023/2024</t>
  </si>
  <si>
    <t>03-01-24</t>
  </si>
  <si>
    <t>13:53</t>
  </si>
  <si>
    <t>RTK</t>
  </si>
  <si>
    <t>rrc_20240103_gla</t>
  </si>
  <si>
    <t>13:38</t>
  </si>
  <si>
    <t>14:10</t>
  </si>
  <si>
    <t>14:21</t>
  </si>
  <si>
    <t>14:31</t>
  </si>
  <si>
    <t>14:39</t>
  </si>
  <si>
    <t>14:47</t>
  </si>
  <si>
    <t>16:59</t>
  </si>
  <si>
    <t>14:58</t>
  </si>
  <si>
    <t>16:34</t>
  </si>
  <si>
    <t>15:57</t>
  </si>
  <si>
    <t>14:54</t>
  </si>
  <si>
    <t>16:48</t>
  </si>
  <si>
    <t>16:12</t>
  </si>
  <si>
    <t>15:08</t>
  </si>
  <si>
    <t>Estacas JOHNSONS 1ª fase 2023/2024</t>
  </si>
  <si>
    <t>18:36</t>
  </si>
  <si>
    <t>19:27</t>
  </si>
  <si>
    <t>18:54</t>
  </si>
  <si>
    <t>19:01</t>
  </si>
  <si>
    <t>17:08</t>
  </si>
  <si>
    <t>19:09</t>
  </si>
  <si>
    <t>18:06</t>
  </si>
  <si>
    <t>04-01-24</t>
  </si>
  <si>
    <t>rrc_20240104_gla</t>
  </si>
  <si>
    <t>15:32</t>
  </si>
  <si>
    <t>16:22</t>
  </si>
  <si>
    <t>16:36</t>
  </si>
  <si>
    <t>16:52</t>
  </si>
  <si>
    <t>17:20</t>
  </si>
  <si>
    <t>17:39</t>
  </si>
  <si>
    <t>17:15</t>
  </si>
  <si>
    <t>18:08</t>
  </si>
  <si>
    <t>19:32</t>
  </si>
  <si>
    <t>19:42</t>
  </si>
  <si>
    <t>19:52</t>
  </si>
  <si>
    <t>20:02</t>
  </si>
  <si>
    <t>20:13</t>
  </si>
  <si>
    <t>20:29</t>
  </si>
  <si>
    <t>05-01-24</t>
  </si>
  <si>
    <t>15:44</t>
  </si>
  <si>
    <t>rrc_20240105_gla</t>
  </si>
  <si>
    <t>06-01-24</t>
  </si>
  <si>
    <t>rrc_20240106_gla</t>
  </si>
  <si>
    <t>15:13</t>
  </si>
  <si>
    <t>15:25</t>
  </si>
  <si>
    <t>15:37</t>
  </si>
  <si>
    <t>15:49</t>
  </si>
  <si>
    <t>16:10</t>
  </si>
  <si>
    <t>08-01-24</t>
  </si>
  <si>
    <t>19:58</t>
  </si>
  <si>
    <t>rrc_20240108_gla</t>
  </si>
  <si>
    <t>14:57</t>
  </si>
  <si>
    <t>16:24</t>
  </si>
  <si>
    <t>Aunque está localizada, muy profunda. No se sigue buscando. Se replanta</t>
  </si>
  <si>
    <t>19:17</t>
  </si>
  <si>
    <t>15:46</t>
  </si>
  <si>
    <t>16:04</t>
  </si>
  <si>
    <t>EJ63</t>
  </si>
  <si>
    <t>10-01-24</t>
  </si>
  <si>
    <t>rrc_20240110_gla</t>
  </si>
  <si>
    <t>Mto. estacas JOHNSONS 1ª fase 2023/2024</t>
  </si>
  <si>
    <t>Altura antena 1,96 incluida en Zm vía data controller; por eso se corrigen en Excel Delta_ant y hm</t>
  </si>
  <si>
    <t>Altura antena 0,001 incluida en Zm vía data controller; por eso se corrigen en Excel Delta_ant y hm. Sobre estaca</t>
  </si>
  <si>
    <t>Altura antena 1,96 incluida en Zm vía data controller; por eso se corrigen en Excel Delta_ant y hm. A ras de nieve, pero se pone 0,01 para evitar errores</t>
  </si>
  <si>
    <t>Altura antena 1,1 incluida en Zm vía data controller; por eso se corrigen en Excel Delta_ant y hm</t>
  </si>
  <si>
    <t>Altura antena 0,88 incluida en Zm vía data controller; por eso se corrigen en Excel Delta_ant y hm</t>
  </si>
  <si>
    <t>Altura antena 0,115 incluida en Zm vía data controller; por eso se corrigen en Excel Delta_ant y hm</t>
  </si>
  <si>
    <t>Altura antena 1,33 incluida en Zm vía data controller; por eso se corrigen en Excel Delta_ant y hm</t>
  </si>
  <si>
    <t>Altura antena 0,23 incluida en Zm vía data controller; por eso se corrigen en Excel Delta_ant y hm</t>
  </si>
  <si>
    <t>Altura antena 0,50 incluida en Zm vía data controller; por eso se corrigen en Excel Delta_ant y hm</t>
  </si>
  <si>
    <t>Altura antena 1,27 incluida en Zm vía data controller; por eso se corrigen en Excel Delta_ant y hm</t>
  </si>
  <si>
    <t xml:space="preserve">Altura antena 1,96. A ras de nieve, pero pongo 0,01 para evitar error </t>
  </si>
  <si>
    <t>ESTACA NUEVA. "Sustituye" a EJ55 perdida. PERO desplazada para alejarla del frente</t>
  </si>
  <si>
    <t>Altura antena 0,78 incluida en Zm vía data controller; por eso se corrigen en Excel Delta_ant y hm</t>
  </si>
  <si>
    <t>Altura antena 0,47 incluida en Zm vía data controller; por eso se corrigen en Excel Delta_ant y hm</t>
  </si>
  <si>
    <t>Altura antena 0,40 incluida en Zm vía data controller; por eso se corrigen en Excel Delta_ant y hm</t>
  </si>
  <si>
    <t>Altura antena 0,77 incluida en Zm vía data controller; por eso se corrigen en Excel Delta_ant y hm</t>
  </si>
  <si>
    <t>Altura antena 0,89 incluida en Zm vía data controller; por eso se corrigen en Excel Delta_ant y 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</si>
</sst>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0.000"/>
  </numFmts>
  <fonts count="25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  <charset val="1"/>
    </font>
    <font>
      <b/>
      <sz val="15"/>
      <color indexed="56"/>
      <name val="Calibri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  <charset val="2"/>
    </font>
    <font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sz val="10"/>
      <name val="Symbol"/>
      <family val="1"/>
      <charset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20"/>
      <name val="Arial"/>
      <family val="2"/>
    </font>
    <font>
      <sz val="18"/>
      <name val="Arial"/>
      <family val="2"/>
    </font>
    <font>
      <vertAlign val="subscript"/>
      <sz val="18"/>
      <name val="Arial"/>
      <family val="2"/>
    </font>
    <font>
      <sz val="18"/>
      <name val="Symbol"/>
      <family val="1"/>
      <charset val="2"/>
    </font>
    <font>
      <sz val="36"/>
      <name val="Arial"/>
      <family val="2"/>
    </font>
    <font>
      <sz val="12"/>
      <color indexed="8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52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27"/>
        <bgColor indexed="41"/>
      </patternFill>
    </fill>
    <fill>
      <patternFill patternType="solid">
        <fgColor indexed="50"/>
        <bgColor indexed="51"/>
      </patternFill>
    </fill>
    <fill>
      <patternFill patternType="solid">
        <fgColor indexed="51"/>
        <bgColor indexed="29"/>
      </patternFill>
    </fill>
    <fill>
      <patternFill patternType="solid">
        <fgColor indexed="23"/>
        <b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theme="0" tint="-0.34998626667073579"/>
        <bgColor indexed="5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3"/>
      </patternFill>
    </fill>
  </fills>
  <borders count="4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/>
      <right/>
      <top style="medium">
        <color indexed="59"/>
      </top>
      <bottom style="medium">
        <color indexed="59"/>
      </bottom>
      <diagonal/>
    </border>
    <border>
      <left/>
      <right/>
      <top style="thin">
        <color indexed="59"/>
      </top>
      <bottom style="medium">
        <color indexed="59"/>
      </bottom>
      <diagonal/>
    </border>
    <border>
      <left/>
      <right style="medium">
        <color indexed="59"/>
      </right>
      <top style="thin">
        <color indexed="59"/>
      </top>
      <bottom style="medium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medium">
        <color indexed="59"/>
      </bottom>
      <diagonal/>
    </border>
    <border>
      <left/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/>
      <top style="thin">
        <color indexed="59"/>
      </top>
      <bottom style="medium">
        <color indexed="59"/>
      </bottom>
      <diagonal/>
    </border>
    <border>
      <left/>
      <right/>
      <top style="thin">
        <color indexed="59"/>
      </top>
      <bottom/>
      <diagonal/>
    </border>
    <border>
      <left/>
      <right/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/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/>
      <diagonal/>
    </border>
    <border>
      <left/>
      <right style="thin">
        <color indexed="59"/>
      </right>
      <top/>
      <bottom/>
      <diagonal/>
    </border>
    <border>
      <left style="thin">
        <color indexed="59"/>
      </left>
      <right style="medium">
        <color indexed="59"/>
      </right>
      <top/>
      <bottom/>
      <diagonal/>
    </border>
    <border>
      <left style="medium">
        <color indexed="59"/>
      </left>
      <right style="thin">
        <color indexed="59"/>
      </right>
      <top/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medium">
        <color indexed="59"/>
      </left>
      <right/>
      <top/>
      <bottom/>
      <diagonal/>
    </border>
    <border>
      <left/>
      <right style="medium">
        <color indexed="59"/>
      </right>
      <top style="medium">
        <color indexed="59"/>
      </top>
      <bottom style="medium">
        <color indexed="59"/>
      </bottom>
      <diagonal/>
    </border>
    <border>
      <left style="medium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/>
      <bottom style="medium">
        <color indexed="59"/>
      </bottom>
      <diagonal/>
    </border>
    <border>
      <left/>
      <right style="medium">
        <color indexed="5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59"/>
      </right>
      <top/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</borders>
  <cellStyleXfs count="5">
    <xf numFmtId="0" fontId="0" fillId="0" borderId="0"/>
    <xf numFmtId="0" fontId="1" fillId="0" borderId="0"/>
    <xf numFmtId="0" fontId="21" fillId="2" borderId="2" applyNumberFormat="0" applyAlignment="0" applyProtection="0"/>
    <xf numFmtId="0" fontId="2" fillId="0" borderId="0"/>
    <xf numFmtId="0" fontId="3" fillId="0" borderId="1" applyNumberFormat="0" applyFill="0" applyAlignment="0" applyProtection="0"/>
  </cellStyleXfs>
  <cellXfs count="343">
    <xf numFmtId="0" fontId="0" fillId="0" borderId="0" xfId="0"/>
    <xf numFmtId="0" fontId="0" fillId="0" borderId="0" xfId="0" applyAlignment="1">
      <alignment vertical="center"/>
    </xf>
    <xf numFmtId="49" fontId="4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justify" vertical="center" wrapText="1"/>
    </xf>
    <xf numFmtId="49" fontId="4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justify" vertical="center" wrapText="1"/>
    </xf>
    <xf numFmtId="49" fontId="4" fillId="0" borderId="0" xfId="0" applyNumberFormat="1" applyFont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justify" vertical="center" wrapText="1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3" borderId="6" xfId="0" applyFont="1" applyFill="1" applyBorder="1" applyAlignment="1">
      <alignment horizontal="center"/>
    </xf>
    <xf numFmtId="49" fontId="4" fillId="3" borderId="8" xfId="0" applyNumberFormat="1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165" fontId="4" fillId="3" borderId="11" xfId="0" applyNumberFormat="1" applyFon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5" fontId="4" fillId="4" borderId="12" xfId="0" applyNumberFormat="1" applyFont="1" applyFill="1" applyBorder="1" applyAlignment="1">
      <alignment horizontal="center"/>
    </xf>
    <xf numFmtId="165" fontId="7" fillId="4" borderId="13" xfId="0" applyNumberFormat="1" applyFont="1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4" fillId="3" borderId="16" xfId="0" applyNumberFormat="1" applyFont="1" applyFill="1" applyBorder="1" applyAlignment="1">
      <alignment horizontal="center"/>
    </xf>
    <xf numFmtId="49" fontId="4" fillId="3" borderId="17" xfId="0" applyNumberFormat="1" applyFont="1" applyFill="1" applyBorder="1" applyAlignment="1">
      <alignment horizontal="center"/>
    </xf>
    <xf numFmtId="49" fontId="4" fillId="3" borderId="18" xfId="0" applyNumberFormat="1" applyFont="1" applyFill="1" applyBorder="1" applyAlignment="1">
      <alignment horizontal="center"/>
    </xf>
    <xf numFmtId="49" fontId="4" fillId="3" borderId="17" xfId="0" applyNumberFormat="1" applyFont="1" applyFill="1" applyBorder="1" applyAlignment="1">
      <alignment horizontal="left"/>
    </xf>
    <xf numFmtId="49" fontId="4" fillId="3" borderId="18" xfId="0" applyNumberFormat="1" applyFont="1" applyFill="1" applyBorder="1" applyAlignment="1">
      <alignment horizontal="left"/>
    </xf>
    <xf numFmtId="165" fontId="4" fillId="3" borderId="19" xfId="0" applyNumberFormat="1" applyFont="1" applyFill="1" applyBorder="1" applyAlignment="1">
      <alignment horizontal="center"/>
    </xf>
    <xf numFmtId="49" fontId="4" fillId="6" borderId="20" xfId="0" applyNumberFormat="1" applyFont="1" applyFill="1" applyBorder="1" applyAlignment="1">
      <alignment horizontal="center"/>
    </xf>
    <xf numFmtId="49" fontId="4" fillId="6" borderId="17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49" fontId="4" fillId="6" borderId="22" xfId="0" applyNumberFormat="1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2" fontId="4" fillId="3" borderId="19" xfId="0" applyNumberFormat="1" applyFont="1" applyFill="1" applyBorder="1" applyAlignment="1">
      <alignment horizontal="center"/>
    </xf>
    <xf numFmtId="2" fontId="4" fillId="3" borderId="20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 vertical="center"/>
    </xf>
    <xf numFmtId="2" fontId="6" fillId="3" borderId="17" xfId="0" applyNumberFormat="1" applyFont="1" applyFill="1" applyBorder="1" applyAlignment="1">
      <alignment horizontal="center" vertical="center"/>
    </xf>
    <xf numFmtId="2" fontId="4" fillId="3" borderId="18" xfId="0" applyNumberFormat="1" applyFont="1" applyFill="1" applyBorder="1" applyAlignment="1">
      <alignment horizontal="center" vertical="center"/>
    </xf>
    <xf numFmtId="2" fontId="4" fillId="3" borderId="16" xfId="0" applyNumberFormat="1" applyFont="1" applyFill="1" applyBorder="1" applyAlignment="1">
      <alignment horizontal="center" vertical="center"/>
    </xf>
    <xf numFmtId="2" fontId="4" fillId="3" borderId="23" xfId="0" applyNumberFormat="1" applyFont="1" applyFill="1" applyBorder="1" applyAlignment="1">
      <alignment horizontal="center" vertical="center"/>
    </xf>
    <xf numFmtId="2" fontId="4" fillId="3" borderId="20" xfId="0" applyNumberFormat="1" applyFont="1" applyFill="1" applyBorder="1" applyAlignment="1">
      <alignment horizontal="center" vertical="center"/>
    </xf>
    <xf numFmtId="2" fontId="4" fillId="7" borderId="17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2" fontId="4" fillId="7" borderId="20" xfId="0" applyNumberFormat="1" applyFont="1" applyFill="1" applyBorder="1" applyAlignment="1">
      <alignment horizontal="center"/>
    </xf>
    <xf numFmtId="49" fontId="4" fillId="7" borderId="20" xfId="0" applyNumberFormat="1" applyFont="1" applyFill="1" applyBorder="1" applyAlignment="1">
      <alignment horizontal="center" vertical="center"/>
    </xf>
    <xf numFmtId="49" fontId="4" fillId="7" borderId="17" xfId="0" applyNumberFormat="1" applyFont="1" applyFill="1" applyBorder="1" applyAlignment="1">
      <alignment horizontal="center" vertical="center"/>
    </xf>
    <xf numFmtId="164" fontId="0" fillId="0" borderId="24" xfId="0" applyNumberFormat="1" applyBorder="1" applyAlignment="1">
      <alignment horizontal="center"/>
    </xf>
    <xf numFmtId="20" fontId="0" fillId="0" borderId="25" xfId="0" applyNumberFormat="1" applyBorder="1" applyAlignment="1">
      <alignment horizontal="center"/>
    </xf>
    <xf numFmtId="49" fontId="0" fillId="5" borderId="26" xfId="0" applyNumberFormat="1" applyFill="1" applyBorder="1" applyAlignment="1">
      <alignment horizontal="center"/>
    </xf>
    <xf numFmtId="164" fontId="0" fillId="5" borderId="24" xfId="0" applyNumberFormat="1" applyFill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49" fontId="0" fillId="0" borderId="30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49" fontId="7" fillId="0" borderId="24" xfId="0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2" fontId="7" fillId="0" borderId="30" xfId="0" applyNumberFormat="1" applyFont="1" applyBorder="1" applyAlignment="1">
      <alignment horizontal="left"/>
    </xf>
    <xf numFmtId="1" fontId="0" fillId="8" borderId="24" xfId="0" applyNumberFormat="1" applyFill="1" applyBorder="1" applyAlignment="1">
      <alignment horizontal="center"/>
    </xf>
    <xf numFmtId="2" fontId="2" fillId="5" borderId="33" xfId="3" applyNumberFormat="1" applyFill="1" applyBorder="1" applyAlignment="1">
      <alignment horizontal="center"/>
    </xf>
    <xf numFmtId="2" fontId="7" fillId="0" borderId="24" xfId="0" applyNumberFormat="1" applyFont="1" applyBorder="1"/>
    <xf numFmtId="2" fontId="7" fillId="0" borderId="25" xfId="0" applyNumberFormat="1" applyFont="1" applyBorder="1" applyAlignment="1">
      <alignment horizontal="center"/>
    </xf>
    <xf numFmtId="49" fontId="7" fillId="0" borderId="30" xfId="0" applyNumberFormat="1" applyFont="1" applyBorder="1" applyAlignment="1">
      <alignment horizontal="center"/>
    </xf>
    <xf numFmtId="49" fontId="0" fillId="9" borderId="24" xfId="0" applyNumberFormat="1" applyFill="1" applyBorder="1" applyAlignment="1">
      <alignment horizontal="center"/>
    </xf>
    <xf numFmtId="164" fontId="7" fillId="9" borderId="24" xfId="0" applyNumberFormat="1" applyFont="1" applyFill="1" applyBorder="1" applyAlignment="1">
      <alignment horizontal="center"/>
    </xf>
    <xf numFmtId="20" fontId="0" fillId="9" borderId="0" xfId="0" applyNumberFormat="1" applyFill="1" applyAlignment="1">
      <alignment horizontal="center"/>
    </xf>
    <xf numFmtId="2" fontId="0" fillId="9" borderId="25" xfId="0" applyNumberFormat="1" applyFill="1" applyBorder="1" applyAlignment="1">
      <alignment horizontal="center"/>
    </xf>
    <xf numFmtId="49" fontId="0" fillId="9" borderId="25" xfId="0" applyNumberFormat="1" applyFill="1" applyBorder="1" applyAlignment="1">
      <alignment horizontal="center"/>
    </xf>
    <xf numFmtId="2" fontId="0" fillId="9" borderId="31" xfId="0" applyNumberFormat="1" applyFill="1" applyBorder="1" applyAlignment="1">
      <alignment horizontal="center"/>
    </xf>
    <xf numFmtId="2" fontId="0" fillId="9" borderId="29" xfId="0" applyNumberFormat="1" applyFill="1" applyBorder="1" applyAlignment="1">
      <alignment horizontal="center"/>
    </xf>
    <xf numFmtId="1" fontId="0" fillId="9" borderId="24" xfId="0" applyNumberFormat="1" applyFill="1" applyBorder="1" applyAlignment="1">
      <alignment horizontal="center"/>
    </xf>
    <xf numFmtId="2" fontId="0" fillId="9" borderId="24" xfId="0" applyNumberFormat="1" applyFill="1" applyBorder="1" applyAlignment="1">
      <alignment horizontal="center"/>
    </xf>
    <xf numFmtId="2" fontId="2" fillId="9" borderId="33" xfId="3" applyNumberFormat="1" applyFill="1" applyBorder="1" applyAlignment="1">
      <alignment horizontal="center"/>
    </xf>
    <xf numFmtId="2" fontId="0" fillId="9" borderId="30" xfId="0" applyNumberFormat="1" applyFill="1" applyBorder="1" applyAlignment="1">
      <alignment horizontal="center"/>
    </xf>
    <xf numFmtId="49" fontId="7" fillId="9" borderId="30" xfId="0" applyNumberFormat="1" applyFont="1" applyFill="1" applyBorder="1" applyAlignment="1">
      <alignment horizontal="center"/>
    </xf>
    <xf numFmtId="49" fontId="0" fillId="10" borderId="24" xfId="0" applyNumberFormat="1" applyFill="1" applyBorder="1" applyAlignment="1">
      <alignment horizontal="center"/>
    </xf>
    <xf numFmtId="164" fontId="7" fillId="10" borderId="24" xfId="0" applyNumberFormat="1" applyFont="1" applyFill="1" applyBorder="1" applyAlignment="1">
      <alignment horizontal="center"/>
    </xf>
    <xf numFmtId="20" fontId="0" fillId="10" borderId="0" xfId="0" applyNumberFormat="1" applyFill="1" applyAlignment="1">
      <alignment horizontal="center"/>
    </xf>
    <xf numFmtId="165" fontId="0" fillId="10" borderId="31" xfId="0" applyNumberFormat="1" applyFill="1" applyBorder="1" applyAlignment="1">
      <alignment horizontal="center"/>
    </xf>
    <xf numFmtId="2" fontId="0" fillId="10" borderId="29" xfId="0" applyNumberFormat="1" applyFill="1" applyBorder="1" applyAlignment="1">
      <alignment horizontal="center"/>
    </xf>
    <xf numFmtId="2" fontId="0" fillId="10" borderId="24" xfId="0" applyNumberFormat="1" applyFill="1" applyBorder="1" applyAlignment="1">
      <alignment horizontal="center"/>
    </xf>
    <xf numFmtId="2" fontId="0" fillId="10" borderId="25" xfId="0" applyNumberFormat="1" applyFill="1" applyBorder="1" applyAlignment="1">
      <alignment horizontal="center"/>
    </xf>
    <xf numFmtId="49" fontId="0" fillId="10" borderId="25" xfId="0" applyNumberFormat="1" applyFill="1" applyBorder="1" applyAlignment="1">
      <alignment horizontal="center"/>
    </xf>
    <xf numFmtId="2" fontId="0" fillId="10" borderId="30" xfId="0" applyNumberFormat="1" applyFill="1" applyBorder="1" applyAlignment="1">
      <alignment horizontal="left"/>
    </xf>
    <xf numFmtId="2" fontId="0" fillId="10" borderId="31" xfId="0" applyNumberFormat="1" applyFill="1" applyBorder="1" applyAlignment="1">
      <alignment horizontal="center"/>
    </xf>
    <xf numFmtId="1" fontId="0" fillId="10" borderId="24" xfId="0" applyNumberFormat="1" applyFill="1" applyBorder="1" applyAlignment="1">
      <alignment horizontal="center"/>
    </xf>
    <xf numFmtId="2" fontId="0" fillId="10" borderId="33" xfId="0" applyNumberFormat="1" applyFill="1" applyBorder="1" applyAlignment="1">
      <alignment horizontal="center"/>
    </xf>
    <xf numFmtId="2" fontId="0" fillId="10" borderId="24" xfId="0" applyNumberFormat="1" applyFill="1" applyBorder="1"/>
    <xf numFmtId="2" fontId="0" fillId="10" borderId="30" xfId="0" applyNumberFormat="1" applyFill="1" applyBorder="1" applyAlignment="1">
      <alignment horizontal="center"/>
    </xf>
    <xf numFmtId="49" fontId="7" fillId="10" borderId="30" xfId="0" applyNumberFormat="1" applyFont="1" applyFill="1" applyBorder="1" applyAlignment="1">
      <alignment horizontal="center"/>
    </xf>
    <xf numFmtId="2" fontId="0" fillId="9" borderId="33" xfId="0" applyNumberFormat="1" applyFill="1" applyBorder="1" applyAlignment="1">
      <alignment horizontal="center"/>
    </xf>
    <xf numFmtId="2" fontId="0" fillId="0" borderId="30" xfId="0" applyNumberFormat="1" applyBorder="1" applyAlignment="1">
      <alignment horizontal="left"/>
    </xf>
    <xf numFmtId="2" fontId="2" fillId="10" borderId="33" xfId="3" applyNumberFormat="1" applyFill="1" applyBorder="1" applyAlignment="1">
      <alignment horizontal="center"/>
    </xf>
    <xf numFmtId="165" fontId="0" fillId="0" borderId="6" xfId="0" applyNumberFormat="1" applyBorder="1" applyAlignment="1">
      <alignment horizontal="left"/>
    </xf>
    <xf numFmtId="165" fontId="0" fillId="5" borderId="7" xfId="0" applyNumberFormat="1" applyFill="1" applyBorder="1" applyAlignment="1">
      <alignment horizontal="left"/>
    </xf>
    <xf numFmtId="2" fontId="0" fillId="5" borderId="14" xfId="0" applyNumberFormat="1" applyFill="1" applyBorder="1" applyAlignment="1">
      <alignment horizontal="center"/>
    </xf>
    <xf numFmtId="2" fontId="6" fillId="7" borderId="17" xfId="0" applyNumberFormat="1" applyFont="1" applyFill="1" applyBorder="1" applyAlignment="1">
      <alignment horizontal="center" vertical="center"/>
    </xf>
    <xf numFmtId="2" fontId="7" fillId="0" borderId="24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center"/>
    </xf>
    <xf numFmtId="20" fontId="0" fillId="0" borderId="24" xfId="0" applyNumberForma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165" fontId="0" fillId="9" borderId="25" xfId="0" applyNumberFormat="1" applyFill="1" applyBorder="1" applyAlignment="1">
      <alignment horizontal="center"/>
    </xf>
    <xf numFmtId="2" fontId="7" fillId="9" borderId="25" xfId="0" applyNumberFormat="1" applyFont="1" applyFill="1" applyBorder="1" applyAlignment="1">
      <alignment horizontal="center"/>
    </xf>
    <xf numFmtId="2" fontId="7" fillId="9" borderId="0" xfId="0" applyNumberFormat="1" applyFont="1" applyFill="1" applyAlignment="1">
      <alignment horizontal="center"/>
    </xf>
    <xf numFmtId="165" fontId="0" fillId="10" borderId="25" xfId="0" applyNumberFormat="1" applyFill="1" applyBorder="1" applyAlignment="1">
      <alignment horizontal="center"/>
    </xf>
    <xf numFmtId="2" fontId="7" fillId="10" borderId="25" xfId="0" applyNumberFormat="1" applyFont="1" applyFill="1" applyBorder="1" applyAlignment="1">
      <alignment horizontal="center"/>
    </xf>
    <xf numFmtId="2" fontId="7" fillId="10" borderId="0" xfId="0" applyNumberFormat="1" applyFont="1" applyFill="1" applyAlignment="1">
      <alignment horizontal="center"/>
    </xf>
    <xf numFmtId="2" fontId="0" fillId="0" borderId="26" xfId="0" applyNumberFormat="1" applyBorder="1" applyAlignment="1">
      <alignment horizontal="center"/>
    </xf>
    <xf numFmtId="49" fontId="0" fillId="11" borderId="34" xfId="0" applyNumberFormat="1" applyFill="1" applyBorder="1" applyAlignment="1">
      <alignment horizontal="center"/>
    </xf>
    <xf numFmtId="49" fontId="0" fillId="11" borderId="24" xfId="0" applyNumberFormat="1" applyFill="1" applyBorder="1" applyAlignment="1">
      <alignment horizontal="center"/>
    </xf>
    <xf numFmtId="164" fontId="7" fillId="11" borderId="24" xfId="0" applyNumberFormat="1" applyFont="1" applyFill="1" applyBorder="1" applyAlignment="1">
      <alignment horizontal="center"/>
    </xf>
    <xf numFmtId="20" fontId="0" fillId="11" borderId="0" xfId="0" applyNumberFormat="1" applyFill="1" applyAlignment="1">
      <alignment horizontal="center"/>
    </xf>
    <xf numFmtId="165" fontId="0" fillId="11" borderId="31" xfId="0" applyNumberFormat="1" applyFill="1" applyBorder="1" applyAlignment="1">
      <alignment horizontal="center"/>
    </xf>
    <xf numFmtId="2" fontId="0" fillId="11" borderId="29" xfId="0" applyNumberFormat="1" applyFill="1" applyBorder="1" applyAlignment="1">
      <alignment horizontal="center"/>
    </xf>
    <xf numFmtId="2" fontId="0" fillId="11" borderId="24" xfId="0" applyNumberFormat="1" applyFill="1" applyBorder="1" applyAlignment="1">
      <alignment horizontal="center"/>
    </xf>
    <xf numFmtId="2" fontId="0" fillId="11" borderId="25" xfId="0" applyNumberFormat="1" applyFill="1" applyBorder="1" applyAlignment="1">
      <alignment horizontal="center"/>
    </xf>
    <xf numFmtId="165" fontId="0" fillId="11" borderId="25" xfId="0" applyNumberFormat="1" applyFill="1" applyBorder="1" applyAlignment="1">
      <alignment horizontal="center"/>
    </xf>
    <xf numFmtId="2" fontId="0" fillId="11" borderId="30" xfId="0" applyNumberFormat="1" applyFill="1" applyBorder="1" applyAlignment="1">
      <alignment horizontal="left"/>
    </xf>
    <xf numFmtId="2" fontId="0" fillId="11" borderId="31" xfId="0" applyNumberFormat="1" applyFill="1" applyBorder="1" applyAlignment="1">
      <alignment horizontal="center"/>
    </xf>
    <xf numFmtId="1" fontId="0" fillId="11" borderId="24" xfId="0" applyNumberFormat="1" applyFill="1" applyBorder="1" applyAlignment="1">
      <alignment horizontal="center"/>
    </xf>
    <xf numFmtId="2" fontId="0" fillId="11" borderId="33" xfId="0" applyNumberFormat="1" applyFill="1" applyBorder="1" applyAlignment="1">
      <alignment horizontal="center"/>
    </xf>
    <xf numFmtId="2" fontId="0" fillId="11" borderId="24" xfId="0" applyNumberFormat="1" applyFill="1" applyBorder="1" applyAlignment="1">
      <alignment horizontal="left"/>
    </xf>
    <xf numFmtId="2" fontId="0" fillId="11" borderId="30" xfId="0" applyNumberFormat="1" applyFill="1" applyBorder="1" applyAlignment="1">
      <alignment horizontal="center"/>
    </xf>
    <xf numFmtId="49" fontId="7" fillId="11" borderId="30" xfId="0" applyNumberFormat="1" applyFont="1" applyFill="1" applyBorder="1" applyAlignment="1">
      <alignment horizontal="center"/>
    </xf>
    <xf numFmtId="49" fontId="0" fillId="10" borderId="34" xfId="0" applyNumberFormat="1" applyFill="1" applyBorder="1" applyAlignment="1">
      <alignment horizontal="center"/>
    </xf>
    <xf numFmtId="164" fontId="0" fillId="10" borderId="24" xfId="0" applyNumberFormat="1" applyFill="1" applyBorder="1" applyAlignment="1">
      <alignment horizontal="center"/>
    </xf>
    <xf numFmtId="2" fontId="0" fillId="10" borderId="24" xfId="0" applyNumberFormat="1" applyFill="1" applyBorder="1" applyAlignment="1">
      <alignment horizontal="left"/>
    </xf>
    <xf numFmtId="49" fontId="0" fillId="0" borderId="34" xfId="0" applyNumberFormat="1" applyBorder="1" applyAlignment="1">
      <alignment horizontal="center"/>
    </xf>
    <xf numFmtId="2" fontId="0" fillId="5" borderId="33" xfId="0" applyNumberFormat="1" applyFill="1" applyBorder="1" applyAlignment="1">
      <alignment horizontal="center"/>
    </xf>
    <xf numFmtId="2" fontId="0" fillId="0" borderId="24" xfId="0" applyNumberFormat="1" applyBorder="1" applyAlignment="1">
      <alignment horizontal="left"/>
    </xf>
    <xf numFmtId="49" fontId="0" fillId="9" borderId="34" xfId="0" applyNumberFormat="1" applyFill="1" applyBorder="1" applyAlignment="1">
      <alignment horizontal="center"/>
    </xf>
    <xf numFmtId="49" fontId="0" fillId="10" borderId="24" xfId="0" applyNumberFormat="1" applyFill="1" applyBorder="1" applyAlignment="1">
      <alignment horizontal="left"/>
    </xf>
    <xf numFmtId="49" fontId="0" fillId="10" borderId="33" xfId="0" applyNumberFormat="1" applyFill="1" applyBorder="1" applyAlignment="1">
      <alignment horizontal="center"/>
    </xf>
    <xf numFmtId="49" fontId="0" fillId="10" borderId="0" xfId="0" applyNumberFormat="1" applyFill="1" applyAlignment="1">
      <alignment horizontal="center"/>
    </xf>
    <xf numFmtId="49" fontId="0" fillId="9" borderId="0" xfId="0" applyNumberFormat="1" applyFill="1" applyAlignment="1">
      <alignment horizontal="center"/>
    </xf>
    <xf numFmtId="49" fontId="7" fillId="0" borderId="0" xfId="0" applyNumberFormat="1" applyFont="1" applyAlignment="1">
      <alignment horizontal="center"/>
    </xf>
    <xf numFmtId="165" fontId="7" fillId="0" borderId="26" xfId="0" applyNumberFormat="1" applyFont="1" applyBorder="1" applyAlignment="1">
      <alignment horizontal="center"/>
    </xf>
    <xf numFmtId="165" fontId="0" fillId="11" borderId="24" xfId="0" applyNumberFormat="1" applyFill="1" applyBorder="1" applyAlignment="1">
      <alignment horizontal="center"/>
    </xf>
    <xf numFmtId="2" fontId="7" fillId="11" borderId="0" xfId="0" applyNumberFormat="1" applyFont="1" applyFill="1" applyAlignment="1">
      <alignment horizontal="center"/>
    </xf>
    <xf numFmtId="2" fontId="0" fillId="9" borderId="24" xfId="0" applyNumberFormat="1" applyFill="1" applyBorder="1" applyAlignment="1">
      <alignment horizontal="left"/>
    </xf>
    <xf numFmtId="2" fontId="7" fillId="10" borderId="0" xfId="0" applyNumberFormat="1" applyFont="1" applyFill="1" applyAlignment="1">
      <alignment horizontal="left"/>
    </xf>
    <xf numFmtId="49" fontId="7" fillId="10" borderId="24" xfId="0" applyNumberFormat="1" applyFont="1" applyFill="1" applyBorder="1" applyAlignment="1">
      <alignment horizontal="center"/>
    </xf>
    <xf numFmtId="1" fontId="7" fillId="10" borderId="2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6" xfId="0" applyFont="1" applyBorder="1" applyAlignment="1">
      <alignment horizontal="left"/>
    </xf>
    <xf numFmtId="49" fontId="4" fillId="3" borderId="13" xfId="0" applyNumberFormat="1" applyFont="1" applyFill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4" fillId="3" borderId="20" xfId="0" applyNumberFormat="1" applyFont="1" applyFill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165" fontId="7" fillId="0" borderId="25" xfId="0" applyNumberFormat="1" applyFont="1" applyBorder="1" applyAlignment="1">
      <alignment horizontal="center"/>
    </xf>
    <xf numFmtId="2" fontId="4" fillId="12" borderId="17" xfId="0" applyNumberFormat="1" applyFont="1" applyFill="1" applyBorder="1" applyAlignment="1">
      <alignment horizontal="center"/>
    </xf>
    <xf numFmtId="49" fontId="4" fillId="12" borderId="17" xfId="0" applyNumberFormat="1" applyFont="1" applyFill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0" xfId="0" applyNumberFormat="1"/>
    <xf numFmtId="0" fontId="15" fillId="0" borderId="0" xfId="0" applyFont="1"/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3" xfId="0" applyFont="1" applyBorder="1"/>
    <xf numFmtId="0" fontId="19" fillId="0" borderId="36" xfId="0" applyFont="1" applyBorder="1"/>
    <xf numFmtId="0" fontId="19" fillId="0" borderId="37" xfId="0" applyFont="1" applyBorder="1"/>
    <xf numFmtId="0" fontId="19" fillId="0" borderId="0" xfId="0" applyFont="1"/>
    <xf numFmtId="0" fontId="0" fillId="0" borderId="30" xfId="0" applyBorder="1" applyAlignment="1">
      <alignment horizontal="left"/>
    </xf>
    <xf numFmtId="0" fontId="0" fillId="0" borderId="0" xfId="0" applyAlignment="1">
      <alignment horizontal="left"/>
    </xf>
    <xf numFmtId="49" fontId="7" fillId="0" borderId="25" xfId="0" applyNumberFormat="1" applyFont="1" applyBorder="1" applyAlignment="1">
      <alignment horizontal="center"/>
    </xf>
    <xf numFmtId="2" fontId="7" fillId="0" borderId="38" xfId="0" applyNumberFormat="1" applyFont="1" applyBorder="1" applyAlignment="1">
      <alignment horizontal="left"/>
    </xf>
    <xf numFmtId="2" fontId="0" fillId="0" borderId="38" xfId="0" applyNumberFormat="1" applyBorder="1" applyAlignment="1">
      <alignment horizontal="left"/>
    </xf>
    <xf numFmtId="2" fontId="0" fillId="9" borderId="38" xfId="0" applyNumberFormat="1" applyFill="1" applyBorder="1" applyAlignment="1">
      <alignment horizontal="left"/>
    </xf>
    <xf numFmtId="2" fontId="0" fillId="10" borderId="38" xfId="0" applyNumberFormat="1" applyFill="1" applyBorder="1" applyAlignment="1">
      <alignment horizontal="left"/>
    </xf>
    <xf numFmtId="2" fontId="0" fillId="0" borderId="39" xfId="0" applyNumberFormat="1" applyBorder="1" applyAlignment="1">
      <alignment horizontal="center"/>
    </xf>
    <xf numFmtId="49" fontId="7" fillId="0" borderId="39" xfId="0" applyNumberFormat="1" applyFont="1" applyBorder="1" applyAlignment="1">
      <alignment horizontal="center"/>
    </xf>
    <xf numFmtId="49" fontId="0" fillId="0" borderId="39" xfId="0" applyNumberFormat="1" applyBorder="1" applyAlignment="1">
      <alignment horizontal="center"/>
    </xf>
    <xf numFmtId="165" fontId="0" fillId="0" borderId="39" xfId="0" applyNumberFormat="1" applyBorder="1" applyAlignment="1">
      <alignment horizontal="center"/>
    </xf>
    <xf numFmtId="2" fontId="0" fillId="9" borderId="39" xfId="0" applyNumberFormat="1" applyFill="1" applyBorder="1" applyAlignment="1">
      <alignment horizontal="center"/>
    </xf>
    <xf numFmtId="49" fontId="0" fillId="9" borderId="39" xfId="0" applyNumberFormat="1" applyFill="1" applyBorder="1" applyAlignment="1">
      <alignment horizontal="center"/>
    </xf>
    <xf numFmtId="165" fontId="0" fillId="9" borderId="39" xfId="0" applyNumberFormat="1" applyFill="1" applyBorder="1" applyAlignment="1">
      <alignment horizontal="center"/>
    </xf>
    <xf numFmtId="2" fontId="0" fillId="10" borderId="39" xfId="0" applyNumberFormat="1" applyFill="1" applyBorder="1" applyAlignment="1">
      <alignment horizontal="center"/>
    </xf>
    <xf numFmtId="49" fontId="0" fillId="10" borderId="39" xfId="0" applyNumberFormat="1" applyFill="1" applyBorder="1" applyAlignment="1">
      <alignment horizontal="center"/>
    </xf>
    <xf numFmtId="165" fontId="0" fillId="10" borderId="39" xfId="0" applyNumberFormat="1" applyFill="1" applyBorder="1" applyAlignment="1">
      <alignment horizontal="center"/>
    </xf>
    <xf numFmtId="0" fontId="0" fillId="0" borderId="39" xfId="0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20" fontId="0" fillId="0" borderId="39" xfId="0" applyNumberFormat="1" applyBorder="1" applyAlignment="1">
      <alignment horizontal="center"/>
    </xf>
    <xf numFmtId="0" fontId="0" fillId="0" borderId="39" xfId="0" applyBorder="1" applyAlignment="1">
      <alignment horizontal="left"/>
    </xf>
    <xf numFmtId="1" fontId="0" fillId="8" borderId="39" xfId="0" applyNumberFormat="1" applyFill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0" fontId="0" fillId="0" borderId="39" xfId="0" applyBorder="1"/>
    <xf numFmtId="2" fontId="7" fillId="0" borderId="39" xfId="0" applyNumberFormat="1" applyFont="1" applyBorder="1" applyAlignment="1">
      <alignment horizontal="left"/>
    </xf>
    <xf numFmtId="2" fontId="7" fillId="0" borderId="39" xfId="0" applyNumberFormat="1" applyFon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49" fontId="7" fillId="0" borderId="40" xfId="0" applyNumberFormat="1" applyFont="1" applyBorder="1" applyAlignment="1">
      <alignment horizontal="center"/>
    </xf>
    <xf numFmtId="20" fontId="0" fillId="0" borderId="40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2" fontId="0" fillId="9" borderId="42" xfId="0" applyNumberFormat="1" applyFill="1" applyBorder="1" applyAlignment="1">
      <alignment horizontal="center"/>
    </xf>
    <xf numFmtId="2" fontId="0" fillId="10" borderId="42" xfId="0" applyNumberFormat="1" applyFill="1" applyBorder="1" applyAlignment="1">
      <alignment horizontal="center"/>
    </xf>
    <xf numFmtId="165" fontId="0" fillId="0" borderId="42" xfId="0" applyNumberFormat="1" applyBorder="1" applyAlignment="1">
      <alignment horizontal="center"/>
    </xf>
    <xf numFmtId="165" fontId="4" fillId="3" borderId="21" xfId="0" applyNumberFormat="1" applyFont="1" applyFill="1" applyBorder="1" applyAlignment="1">
      <alignment horizontal="center"/>
    </xf>
    <xf numFmtId="165" fontId="0" fillId="0" borderId="43" xfId="0" applyNumberFormat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165" fontId="0" fillId="9" borderId="30" xfId="0" applyNumberFormat="1" applyFill="1" applyBorder="1" applyAlignment="1">
      <alignment horizontal="center"/>
    </xf>
    <xf numFmtId="165" fontId="0" fillId="10" borderId="30" xfId="0" applyNumberFormat="1" applyFill="1" applyBorder="1" applyAlignment="1">
      <alignment horizontal="center"/>
    </xf>
    <xf numFmtId="0" fontId="7" fillId="0" borderId="39" xfId="0" applyFont="1" applyBorder="1" applyAlignment="1">
      <alignment horizontal="left"/>
    </xf>
    <xf numFmtId="165" fontId="4" fillId="4" borderId="10" xfId="0" applyNumberFormat="1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49" fontId="7" fillId="0" borderId="42" xfId="0" applyNumberFormat="1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49" fontId="4" fillId="6" borderId="21" xfId="0" applyNumberFormat="1" applyFont="1" applyFill="1" applyBorder="1" applyAlignment="1">
      <alignment horizontal="center"/>
    </xf>
    <xf numFmtId="49" fontId="0" fillId="11" borderId="30" xfId="0" applyNumberFormat="1" applyFill="1" applyBorder="1" applyAlignment="1">
      <alignment horizontal="center"/>
    </xf>
    <xf numFmtId="49" fontId="0" fillId="10" borderId="30" xfId="0" applyNumberFormat="1" applyFill="1" applyBorder="1" applyAlignment="1">
      <alignment horizontal="center"/>
    </xf>
    <xf numFmtId="49" fontId="0" fillId="0" borderId="45" xfId="0" applyNumberFormat="1" applyBorder="1" applyAlignment="1">
      <alignment horizontal="center"/>
    </xf>
    <xf numFmtId="20" fontId="0" fillId="10" borderId="25" xfId="0" applyNumberFormat="1" applyFill="1" applyBorder="1" applyAlignment="1">
      <alignment horizontal="center"/>
    </xf>
    <xf numFmtId="165" fontId="0" fillId="11" borderId="30" xfId="0" applyNumberFormat="1" applyFill="1" applyBorder="1" applyAlignment="1">
      <alignment horizontal="center"/>
    </xf>
    <xf numFmtId="2" fontId="7" fillId="10" borderId="30" xfId="0" applyNumberFormat="1" applyFont="1" applyFill="1" applyBorder="1" applyAlignment="1">
      <alignment horizontal="center"/>
    </xf>
    <xf numFmtId="49" fontId="4" fillId="6" borderId="18" xfId="0" applyNumberFormat="1" applyFont="1" applyFill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2" fontId="0" fillId="9" borderId="0" xfId="0" applyNumberFormat="1" applyFill="1" applyAlignment="1">
      <alignment horizontal="center"/>
    </xf>
    <xf numFmtId="49" fontId="0" fillId="0" borderId="42" xfId="0" applyNumberFormat="1" applyBorder="1" applyAlignment="1">
      <alignment horizontal="center"/>
    </xf>
    <xf numFmtId="2" fontId="7" fillId="10" borderId="24" xfId="0" applyNumberFormat="1" applyFont="1" applyFill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2" fontId="0" fillId="11" borderId="31" xfId="0" applyNumberFormat="1" applyFill="1" applyBorder="1" applyAlignment="1">
      <alignment horizontal="left"/>
    </xf>
    <xf numFmtId="2" fontId="0" fillId="10" borderId="31" xfId="0" applyNumberFormat="1" applyFill="1" applyBorder="1" applyAlignment="1">
      <alignment horizontal="left"/>
    </xf>
    <xf numFmtId="2" fontId="7" fillId="0" borderId="31" xfId="0" applyNumberFormat="1" applyFont="1" applyBorder="1" applyAlignment="1">
      <alignment horizontal="left"/>
    </xf>
    <xf numFmtId="2" fontId="0" fillId="0" borderId="31" xfId="0" applyNumberFormat="1" applyBorder="1" applyAlignment="1">
      <alignment horizontal="left"/>
    </xf>
    <xf numFmtId="2" fontId="0" fillId="9" borderId="31" xfId="0" applyNumberFormat="1" applyFill="1" applyBorder="1" applyAlignment="1">
      <alignment horizontal="left"/>
    </xf>
    <xf numFmtId="2" fontId="7" fillId="10" borderId="31" xfId="0" applyNumberFormat="1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49" fontId="0" fillId="10" borderId="29" xfId="0" applyNumberFormat="1" applyFill="1" applyBorder="1" applyAlignment="1">
      <alignment horizontal="center"/>
    </xf>
    <xf numFmtId="0" fontId="0" fillId="0" borderId="24" xfId="0" applyBorder="1" applyAlignment="1">
      <alignment horizontal="center"/>
    </xf>
    <xf numFmtId="49" fontId="7" fillId="13" borderId="25" xfId="0" applyNumberFormat="1" applyFont="1" applyFill="1" applyBorder="1" applyAlignment="1">
      <alignment horizontal="center"/>
    </xf>
    <xf numFmtId="164" fontId="0" fillId="13" borderId="39" xfId="0" applyNumberFormat="1" applyFill="1" applyBorder="1" applyAlignment="1">
      <alignment horizontal="center"/>
    </xf>
    <xf numFmtId="20" fontId="0" fillId="13" borderId="39" xfId="0" applyNumberFormat="1" applyFill="1" applyBorder="1" applyAlignment="1">
      <alignment horizontal="center"/>
    </xf>
    <xf numFmtId="49" fontId="0" fillId="13" borderId="39" xfId="0" applyNumberFormat="1" applyFill="1" applyBorder="1" applyAlignment="1">
      <alignment horizontal="center"/>
    </xf>
    <xf numFmtId="0" fontId="0" fillId="13" borderId="39" xfId="0" applyFill="1" applyBorder="1"/>
    <xf numFmtId="0" fontId="0" fillId="13" borderId="40" xfId="0" applyFill="1" applyBorder="1"/>
    <xf numFmtId="165" fontId="0" fillId="13" borderId="30" xfId="0" applyNumberFormat="1" applyFill="1" applyBorder="1" applyAlignment="1">
      <alignment horizontal="center"/>
    </xf>
    <xf numFmtId="0" fontId="0" fillId="13" borderId="42" xfId="0" applyFill="1" applyBorder="1"/>
    <xf numFmtId="0" fontId="0" fillId="13" borderId="39" xfId="0" applyFill="1" applyBorder="1" applyAlignment="1">
      <alignment horizontal="left"/>
    </xf>
    <xf numFmtId="2" fontId="0" fillId="13" borderId="39" xfId="0" applyNumberFormat="1" applyFill="1" applyBorder="1" applyAlignment="1">
      <alignment horizontal="center"/>
    </xf>
    <xf numFmtId="1" fontId="0" fillId="13" borderId="39" xfId="0" applyNumberFormat="1" applyFill="1" applyBorder="1" applyAlignment="1">
      <alignment horizontal="center"/>
    </xf>
    <xf numFmtId="2" fontId="0" fillId="13" borderId="40" xfId="0" applyNumberFormat="1" applyFill="1" applyBorder="1" applyAlignment="1">
      <alignment horizontal="center"/>
    </xf>
    <xf numFmtId="2" fontId="0" fillId="13" borderId="41" xfId="0" applyNumberFormat="1" applyFill="1" applyBorder="1" applyAlignment="1">
      <alignment horizontal="center"/>
    </xf>
    <xf numFmtId="2" fontId="7" fillId="13" borderId="39" xfId="0" applyNumberFormat="1" applyFont="1" applyFill="1" applyBorder="1" applyAlignment="1">
      <alignment horizontal="center"/>
    </xf>
    <xf numFmtId="49" fontId="7" fillId="14" borderId="24" xfId="0" applyNumberFormat="1" applyFont="1" applyFill="1" applyBorder="1" applyAlignment="1">
      <alignment horizontal="center"/>
    </xf>
    <xf numFmtId="49" fontId="0" fillId="14" borderId="24" xfId="0" applyNumberFormat="1" applyFill="1" applyBorder="1" applyAlignment="1">
      <alignment horizontal="center"/>
    </xf>
    <xf numFmtId="164" fontId="7" fillId="14" borderId="24" xfId="0" applyNumberFormat="1" applyFont="1" applyFill="1" applyBorder="1" applyAlignment="1">
      <alignment horizontal="center"/>
    </xf>
    <xf numFmtId="20" fontId="0" fillId="14" borderId="0" xfId="0" applyNumberFormat="1" applyFill="1" applyAlignment="1">
      <alignment horizontal="center"/>
    </xf>
    <xf numFmtId="1" fontId="0" fillId="14" borderId="31" xfId="0" applyNumberFormat="1" applyFill="1" applyBorder="1" applyAlignment="1">
      <alignment horizontal="center"/>
    </xf>
    <xf numFmtId="2" fontId="0" fillId="14" borderId="29" xfId="0" applyNumberFormat="1" applyFill="1" applyBorder="1" applyAlignment="1">
      <alignment horizontal="center"/>
    </xf>
    <xf numFmtId="2" fontId="0" fillId="14" borderId="24" xfId="0" applyNumberFormat="1" applyFill="1" applyBorder="1" applyAlignment="1">
      <alignment horizontal="center"/>
    </xf>
    <xf numFmtId="2" fontId="0" fillId="14" borderId="25" xfId="0" applyNumberFormat="1" applyFill="1" applyBorder="1" applyAlignment="1">
      <alignment horizontal="center"/>
    </xf>
    <xf numFmtId="49" fontId="0" fillId="14" borderId="25" xfId="0" applyNumberFormat="1" applyFill="1" applyBorder="1" applyAlignment="1">
      <alignment horizontal="center"/>
    </xf>
    <xf numFmtId="2" fontId="7" fillId="14" borderId="30" xfId="0" applyNumberFormat="1" applyFont="1" applyFill="1" applyBorder="1" applyAlignment="1">
      <alignment horizontal="left"/>
    </xf>
    <xf numFmtId="2" fontId="0" fillId="14" borderId="31" xfId="0" applyNumberFormat="1" applyFill="1" applyBorder="1" applyAlignment="1">
      <alignment horizontal="center"/>
    </xf>
    <xf numFmtId="1" fontId="0" fillId="14" borderId="24" xfId="0" applyNumberFormat="1" applyFill="1" applyBorder="1" applyAlignment="1">
      <alignment horizontal="center"/>
    </xf>
    <xf numFmtId="2" fontId="2" fillId="14" borderId="33" xfId="3" applyNumberFormat="1" applyFill="1" applyBorder="1" applyAlignment="1">
      <alignment horizontal="center"/>
    </xf>
    <xf numFmtId="2" fontId="7" fillId="14" borderId="24" xfId="0" applyNumberFormat="1" applyFont="1" applyFill="1" applyBorder="1"/>
    <xf numFmtId="2" fontId="0" fillId="14" borderId="30" xfId="0" applyNumberFormat="1" applyFill="1" applyBorder="1" applyAlignment="1">
      <alignment horizontal="center"/>
    </xf>
    <xf numFmtId="49" fontId="7" fillId="14" borderId="30" xfId="0" applyNumberFormat="1" applyFont="1" applyFill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2" fontId="2" fillId="15" borderId="33" xfId="3" applyNumberFormat="1" applyFill="1" applyBorder="1" applyAlignment="1">
      <alignment horizontal="center"/>
    </xf>
    <xf numFmtId="2" fontId="2" fillId="0" borderId="33" xfId="3" applyNumberFormat="1" applyBorder="1" applyAlignment="1">
      <alignment horizontal="center"/>
    </xf>
    <xf numFmtId="2" fontId="7" fillId="0" borderId="24" xfId="0" applyNumberFormat="1" applyFont="1" applyBorder="1" applyAlignment="1">
      <alignment horizontal="center"/>
    </xf>
    <xf numFmtId="49" fontId="7" fillId="0" borderId="29" xfId="0" applyNumberFormat="1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2" fontId="4" fillId="16" borderId="30" xfId="0" applyNumberFormat="1" applyFont="1" applyFill="1" applyBorder="1" applyAlignment="1">
      <alignment horizontal="left"/>
    </xf>
    <xf numFmtId="2" fontId="7" fillId="0" borderId="31" xfId="0" applyNumberFormat="1" applyFont="1" applyBorder="1" applyAlignment="1">
      <alignment horizontal="center"/>
    </xf>
    <xf numFmtId="165" fontId="7" fillId="5" borderId="7" xfId="0" applyNumberFormat="1" applyFont="1" applyFill="1" applyBorder="1" applyAlignment="1">
      <alignment horizontal="left"/>
    </xf>
    <xf numFmtId="49" fontId="0" fillId="15" borderId="39" xfId="0" applyNumberFormat="1" applyFill="1" applyBorder="1" applyAlignment="1">
      <alignment horizontal="center"/>
    </xf>
    <xf numFmtId="49" fontId="7" fillId="15" borderId="24" xfId="0" applyNumberFormat="1" applyFont="1" applyFill="1" applyBorder="1" applyAlignment="1">
      <alignment horizontal="center"/>
    </xf>
    <xf numFmtId="164" fontId="0" fillId="15" borderId="39" xfId="0" applyNumberFormat="1" applyFill="1" applyBorder="1" applyAlignment="1">
      <alignment horizontal="center"/>
    </xf>
    <xf numFmtId="2" fontId="0" fillId="15" borderId="39" xfId="0" applyNumberFormat="1" applyFill="1" applyBorder="1" applyAlignment="1">
      <alignment horizontal="center"/>
    </xf>
    <xf numFmtId="49" fontId="0" fillId="15" borderId="45" xfId="0" applyNumberFormat="1" applyFill="1" applyBorder="1" applyAlignment="1">
      <alignment horizontal="center"/>
    </xf>
    <xf numFmtId="2" fontId="0" fillId="15" borderId="0" xfId="0" applyNumberFormat="1" applyFill="1" applyAlignment="1">
      <alignment horizontal="center"/>
    </xf>
    <xf numFmtId="0" fontId="7" fillId="15" borderId="39" xfId="0" applyFont="1" applyFill="1" applyBorder="1" applyAlignment="1">
      <alignment horizontal="left"/>
    </xf>
    <xf numFmtId="2" fontId="0" fillId="15" borderId="24" xfId="0" applyNumberFormat="1" applyFill="1" applyBorder="1" applyAlignment="1">
      <alignment horizontal="center"/>
    </xf>
    <xf numFmtId="2" fontId="7" fillId="15" borderId="24" xfId="0" applyNumberFormat="1" applyFont="1" applyFill="1" applyBorder="1" applyAlignment="1">
      <alignment horizontal="left"/>
    </xf>
    <xf numFmtId="2" fontId="0" fillId="15" borderId="30" xfId="0" applyNumberFormat="1" applyFill="1" applyBorder="1" applyAlignment="1">
      <alignment horizontal="center"/>
    </xf>
    <xf numFmtId="2" fontId="0" fillId="15" borderId="29" xfId="0" applyNumberFormat="1" applyFill="1" applyBorder="1" applyAlignment="1">
      <alignment horizontal="center"/>
    </xf>
    <xf numFmtId="2" fontId="0" fillId="15" borderId="25" xfId="0" applyNumberFormat="1" applyFill="1" applyBorder="1" applyAlignment="1">
      <alignment horizontal="center"/>
    </xf>
    <xf numFmtId="49" fontId="0" fillId="15" borderId="24" xfId="0" applyNumberFormat="1" applyFill="1" applyBorder="1" applyAlignment="1">
      <alignment horizontal="center"/>
    </xf>
    <xf numFmtId="49" fontId="7" fillId="15" borderId="30" xfId="0" applyNumberFormat="1" applyFont="1" applyFill="1" applyBorder="1" applyAlignment="1">
      <alignment horizontal="center"/>
    </xf>
    <xf numFmtId="1" fontId="0" fillId="15" borderId="24" xfId="0" applyNumberForma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7" fillId="5" borderId="12" xfId="0" applyNumberFormat="1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/>
    <xf numFmtId="0" fontId="15" fillId="0" borderId="4" xfId="0" applyFont="1" applyBorder="1"/>
    <xf numFmtId="2" fontId="0" fillId="0" borderId="0" xfId="0" applyNumberFormat="1" applyBorder="1" applyAlignment="1">
      <alignment horizontal="center"/>
    </xf>
    <xf numFmtId="49" fontId="7" fillId="0" borderId="38" xfId="0" applyNumberFormat="1" applyFont="1" applyBorder="1" applyAlignment="1">
      <alignment horizontal="center"/>
    </xf>
    <xf numFmtId="0" fontId="0" fillId="0" borderId="0" xfId="0" applyFill="1" applyAlignment="1">
      <alignment horizontal="center"/>
    </xf>
    <xf numFmtId="1" fontId="0" fillId="15" borderId="39" xfId="0" applyNumberFormat="1" applyFill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20" fontId="0" fillId="10" borderId="0" xfId="0" applyNumberFormat="1" applyFill="1" applyBorder="1" applyAlignment="1">
      <alignment horizontal="center"/>
    </xf>
    <xf numFmtId="20" fontId="0" fillId="15" borderId="40" xfId="0" applyNumberFormat="1" applyFill="1" applyBorder="1" applyAlignment="1">
      <alignment horizontal="center"/>
    </xf>
    <xf numFmtId="2" fontId="0" fillId="15" borderId="42" xfId="0" applyNumberFormat="1" applyFill="1" applyBorder="1" applyAlignment="1">
      <alignment horizontal="center"/>
    </xf>
    <xf numFmtId="165" fontId="0" fillId="0" borderId="46" xfId="0" applyNumberFormat="1" applyBorder="1" applyAlignment="1">
      <alignment horizontal="center"/>
    </xf>
    <xf numFmtId="49" fontId="0" fillId="10" borderId="31" xfId="0" applyNumberFormat="1" applyFill="1" applyBorder="1" applyAlignment="1">
      <alignment horizontal="center"/>
    </xf>
    <xf numFmtId="165" fontId="7" fillId="0" borderId="31" xfId="0" applyNumberFormat="1" applyFont="1" applyBorder="1" applyAlignment="1">
      <alignment horizontal="center"/>
    </xf>
    <xf numFmtId="165" fontId="0" fillId="15" borderId="31" xfId="0" applyNumberFormat="1" applyFill="1" applyBorder="1" applyAlignment="1">
      <alignment horizontal="center"/>
    </xf>
    <xf numFmtId="49" fontId="7" fillId="0" borderId="24" xfId="0" applyNumberFormat="1" applyFont="1" applyFill="1" applyBorder="1" applyAlignment="1">
      <alignment horizontal="left"/>
    </xf>
    <xf numFmtId="2" fontId="23" fillId="0" borderId="0" xfId="0" quotePrefix="1" applyNumberFormat="1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tas 2" xfId="2" xr:uid="{00000000-0005-0000-0000-000002000000}"/>
    <cellStyle name="TableStyleLight1" xfId="3" xr:uid="{00000000-0005-0000-0000-000003000000}"/>
    <cellStyle name="Título 1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181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9999"/>
      <rgbColor rgb="009999FF"/>
      <rgbColor rgb="00993366"/>
      <rgbColor rgb="00FFFFCC"/>
      <rgbColor rgb="00CCFFFF"/>
      <rgbColor rgb="00660066"/>
      <rgbColor rgb="00FAA61A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5822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5"/>
  <sheetViews>
    <sheetView zoomScale="80" zoomScaleNormal="80" workbookViewId="0">
      <selection activeCell="B5" activeCellId="1" sqref="H47:J47 B5"/>
    </sheetView>
  </sheetViews>
  <sheetFormatPr baseColWidth="10" defaultColWidth="10.76953125" defaultRowHeight="13" x14ac:dyDescent="0.6"/>
  <cols>
    <col min="1" max="1" width="11.76953125" style="1" customWidth="1"/>
    <col min="2" max="2" width="96" style="1" customWidth="1"/>
  </cols>
  <sheetData>
    <row r="1" spans="1:2" x14ac:dyDescent="0.6">
      <c r="A1" s="324" t="s">
        <v>0</v>
      </c>
      <c r="B1" s="324"/>
    </row>
    <row r="2" spans="1:2" ht="16" x14ac:dyDescent="0.6">
      <c r="A2" s="2" t="s">
        <v>1</v>
      </c>
      <c r="B2" s="3" t="s">
        <v>2</v>
      </c>
    </row>
    <row r="3" spans="1:2" ht="16" x14ac:dyDescent="0.6">
      <c r="A3" s="2" t="s">
        <v>3</v>
      </c>
      <c r="B3" s="3" t="s">
        <v>4</v>
      </c>
    </row>
    <row r="4" spans="1:2" ht="16" x14ac:dyDescent="0.6">
      <c r="A4" s="2" t="s">
        <v>5</v>
      </c>
      <c r="B4" s="3" t="s">
        <v>6</v>
      </c>
    </row>
    <row r="5" spans="1:2" ht="52" x14ac:dyDescent="0.6">
      <c r="A5" s="4" t="s">
        <v>7</v>
      </c>
      <c r="B5" s="3" t="s">
        <v>8</v>
      </c>
    </row>
    <row r="6" spans="1:2" ht="76.5" customHeight="1" x14ac:dyDescent="0.6">
      <c r="A6" s="5" t="s">
        <v>9</v>
      </c>
      <c r="B6" s="6" t="s">
        <v>10</v>
      </c>
    </row>
    <row r="7" spans="1:2" ht="16" x14ac:dyDescent="0.6">
      <c r="A7" s="2" t="s">
        <v>11</v>
      </c>
      <c r="B7" s="3" t="s">
        <v>12</v>
      </c>
    </row>
    <row r="8" spans="1:2" ht="16" x14ac:dyDescent="0.6">
      <c r="A8" s="2" t="s">
        <v>13</v>
      </c>
      <c r="B8" s="3" t="s">
        <v>14</v>
      </c>
    </row>
    <row r="9" spans="1:2" ht="16" x14ac:dyDescent="0.6">
      <c r="A9" s="4" t="s">
        <v>15</v>
      </c>
      <c r="B9" s="3" t="s">
        <v>16</v>
      </c>
    </row>
    <row r="10" spans="1:2" x14ac:dyDescent="0.6">
      <c r="A10" s="7"/>
      <c r="B10" s="3"/>
    </row>
    <row r="11" spans="1:2" x14ac:dyDescent="0.6">
      <c r="A11" s="324" t="s">
        <v>17</v>
      </c>
      <c r="B11" s="324"/>
    </row>
    <row r="12" spans="1:2" ht="26" x14ac:dyDescent="0.6">
      <c r="A12" s="8" t="s">
        <v>18</v>
      </c>
      <c r="B12" s="6" t="s">
        <v>19</v>
      </c>
    </row>
    <row r="13" spans="1:2" ht="39" x14ac:dyDescent="0.6">
      <c r="A13" s="8" t="s">
        <v>20</v>
      </c>
      <c r="B13" s="3" t="s">
        <v>21</v>
      </c>
    </row>
    <row r="14" spans="1:2" ht="26" x14ac:dyDescent="0.6">
      <c r="A14" s="9" t="s">
        <v>22</v>
      </c>
      <c r="B14" s="6" t="s">
        <v>23</v>
      </c>
    </row>
    <row r="15" spans="1:2" ht="52" x14ac:dyDescent="0.6">
      <c r="A15" s="10" t="s">
        <v>24</v>
      </c>
      <c r="B15" s="3" t="s">
        <v>25</v>
      </c>
    </row>
    <row r="16" spans="1:2" ht="26" x14ac:dyDescent="0.6">
      <c r="A16" s="10" t="s">
        <v>26</v>
      </c>
      <c r="B16" s="6" t="s">
        <v>27</v>
      </c>
    </row>
    <row r="17" spans="1:2" ht="52" x14ac:dyDescent="0.6">
      <c r="A17" s="11" t="s">
        <v>28</v>
      </c>
      <c r="B17" s="3" t="s">
        <v>29</v>
      </c>
    </row>
    <row r="18" spans="1:2" ht="26" x14ac:dyDescent="0.6">
      <c r="A18" s="8" t="s">
        <v>30</v>
      </c>
      <c r="B18" s="6" t="s">
        <v>31</v>
      </c>
    </row>
    <row r="19" spans="1:2" x14ac:dyDescent="0.6">
      <c r="A19" s="12"/>
      <c r="B19" s="3"/>
    </row>
    <row r="20" spans="1:2" x14ac:dyDescent="0.6">
      <c r="A20" s="324" t="s">
        <v>32</v>
      </c>
      <c r="B20" s="324"/>
    </row>
    <row r="21" spans="1:2" x14ac:dyDescent="0.6">
      <c r="A21" s="8" t="s">
        <v>33</v>
      </c>
      <c r="B21" s="3" t="s">
        <v>34</v>
      </c>
    </row>
    <row r="22" spans="1:2" ht="26" x14ac:dyDescent="0.6">
      <c r="A22" s="8" t="s">
        <v>30</v>
      </c>
      <c r="B22" s="3" t="s">
        <v>35</v>
      </c>
    </row>
    <row r="23" spans="1:2" ht="28.5" x14ac:dyDescent="0.6">
      <c r="A23" s="8" t="s">
        <v>36</v>
      </c>
      <c r="B23" s="3" t="s">
        <v>37</v>
      </c>
    </row>
    <row r="24" spans="1:2" ht="25.5" customHeight="1" x14ac:dyDescent="0.6">
      <c r="A24" s="8" t="s">
        <v>38</v>
      </c>
      <c r="B24" s="3" t="s">
        <v>39</v>
      </c>
    </row>
    <row r="25" spans="1:2" ht="29.25" customHeight="1" x14ac:dyDescent="0.6">
      <c r="A25" s="10" t="s">
        <v>40</v>
      </c>
      <c r="B25" s="13" t="s">
        <v>41</v>
      </c>
    </row>
  </sheetData>
  <sheetProtection selectLockedCells="1" selectUnlockedCells="1"/>
  <mergeCells count="3">
    <mergeCell ref="A1:B1"/>
    <mergeCell ref="A11:B11"/>
    <mergeCell ref="A20:B20"/>
  </mergeCells>
  <printOptions horizontalCentered="1" verticalCentered="1"/>
  <pageMargins left="0.75" right="0.75" top="1" bottom="1" header="0.51180555555555551" footer="0"/>
  <pageSetup paperSize="9" firstPageNumber="0" orientation="landscape" horizontalDpi="300" verticalDpi="300"/>
  <headerFooter alignWithMargins="0"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X79"/>
  <sheetViews>
    <sheetView zoomScaleNormal="100" workbookViewId="0">
      <pane xSplit="1" ySplit="3" topLeftCell="AG52" activePane="bottomRight" state="frozen"/>
      <selection pane="topRight" activeCell="B1" sqref="B1"/>
      <selection pane="bottomLeft" activeCell="A4" sqref="A4"/>
      <selection pane="bottomRight" activeCell="AO8" sqref="AO8"/>
    </sheetView>
  </sheetViews>
  <sheetFormatPr baseColWidth="10" defaultColWidth="11.2265625" defaultRowHeight="13" x14ac:dyDescent="0.6"/>
  <cols>
    <col min="1" max="4" width="9.453125" style="14" customWidth="1"/>
    <col min="5" max="5" width="9.453125" style="15" customWidth="1"/>
    <col min="6" max="6" width="9.2265625" style="16" customWidth="1"/>
    <col min="7" max="7" width="15.54296875" style="17" customWidth="1"/>
    <col min="8" max="10" width="12" style="17" customWidth="1"/>
    <col min="11" max="11" width="7.2265625" style="14" customWidth="1"/>
    <col min="12" max="12" width="8.76953125" style="14" customWidth="1"/>
    <col min="13" max="15" width="12" style="14" customWidth="1"/>
    <col min="16" max="16" width="30.54296875" style="18" customWidth="1"/>
    <col min="17" max="20" width="6.54296875" style="19" customWidth="1"/>
    <col min="21" max="38" width="4.54296875" style="19" customWidth="1"/>
    <col min="39" max="39" width="7.76953125" style="19" customWidth="1"/>
    <col min="40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11.2265625" style="18" customWidth="1"/>
    <col min="50" max="50" width="6.54296875" style="19" customWidth="1"/>
    <col min="51" max="16384" width="11.2265625" style="18"/>
  </cols>
  <sheetData>
    <row r="1" spans="1:50" s="34" customFormat="1" ht="16" x14ac:dyDescent="0.9">
      <c r="A1" s="20" t="s">
        <v>42</v>
      </c>
      <c r="B1" s="174" t="s">
        <v>269</v>
      </c>
      <c r="C1" s="21" t="s">
        <v>43</v>
      </c>
      <c r="D1" s="22" t="s">
        <v>267</v>
      </c>
      <c r="E1" s="23" t="s">
        <v>44</v>
      </c>
      <c r="F1" s="24" t="s">
        <v>268</v>
      </c>
      <c r="G1" s="25" t="s">
        <v>46</v>
      </c>
      <c r="H1" s="26" t="s">
        <v>47</v>
      </c>
      <c r="I1" s="27"/>
      <c r="J1" s="26"/>
      <c r="K1" s="28"/>
      <c r="L1" s="29" t="s">
        <v>48</v>
      </c>
      <c r="M1" s="30">
        <v>633905.23300000001</v>
      </c>
      <c r="N1" s="30">
        <v>3049240.4479999999</v>
      </c>
      <c r="O1" s="30">
        <f>56.39-0.11</f>
        <v>56.28</v>
      </c>
      <c r="P1" s="31" t="s">
        <v>276</v>
      </c>
      <c r="Q1" s="32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V1" s="35"/>
      <c r="AX1" s="33"/>
    </row>
    <row r="2" spans="1:50" ht="16" x14ac:dyDescent="0.9">
      <c r="A2" s="36" t="s">
        <v>49</v>
      </c>
      <c r="B2" s="37" t="s">
        <v>50</v>
      </c>
      <c r="C2" s="38" t="s">
        <v>51</v>
      </c>
      <c r="D2" s="37" t="s">
        <v>52</v>
      </c>
      <c r="E2" s="39" t="s">
        <v>53</v>
      </c>
      <c r="F2" s="40" t="s">
        <v>54</v>
      </c>
      <c r="G2" s="41" t="s">
        <v>55</v>
      </c>
      <c r="H2" s="42" t="s">
        <v>1</v>
      </c>
      <c r="I2" s="43" t="s">
        <v>3</v>
      </c>
      <c r="J2" s="43" t="s">
        <v>5</v>
      </c>
      <c r="K2" s="43" t="s">
        <v>56</v>
      </c>
      <c r="L2" s="44" t="s">
        <v>57</v>
      </c>
      <c r="M2" s="45" t="s">
        <v>11</v>
      </c>
      <c r="N2" s="45" t="s">
        <v>58</v>
      </c>
      <c r="O2" s="45" t="s">
        <v>15</v>
      </c>
      <c r="P2" s="46" t="s">
        <v>59</v>
      </c>
      <c r="Q2" s="47" t="s">
        <v>60</v>
      </c>
      <c r="R2" s="48" t="s">
        <v>61</v>
      </c>
      <c r="S2" s="49" t="s">
        <v>22</v>
      </c>
      <c r="T2" s="50" t="s">
        <v>24</v>
      </c>
      <c r="U2" s="51"/>
      <c r="V2" s="52"/>
      <c r="W2" s="52"/>
      <c r="X2" s="52"/>
      <c r="Y2" s="52" t="s">
        <v>62</v>
      </c>
      <c r="Z2" s="52"/>
      <c r="AA2" s="52"/>
      <c r="AB2" s="52"/>
      <c r="AC2" s="53"/>
      <c r="AD2" s="52"/>
      <c r="AE2" s="52"/>
      <c r="AF2" s="52"/>
      <c r="AG2" s="52"/>
      <c r="AH2" s="52" t="s">
        <v>63</v>
      </c>
      <c r="AI2" s="52"/>
      <c r="AJ2" s="52"/>
      <c r="AK2" s="52"/>
      <c r="AL2" s="54"/>
      <c r="AM2" s="55" t="s">
        <v>64</v>
      </c>
      <c r="AN2" s="56" t="s">
        <v>65</v>
      </c>
      <c r="AO2" s="57" t="s">
        <v>66</v>
      </c>
      <c r="AP2" s="46" t="s">
        <v>67</v>
      </c>
      <c r="AQ2" s="58" t="s">
        <v>68</v>
      </c>
      <c r="AR2" s="59" t="s">
        <v>69</v>
      </c>
      <c r="AS2" s="60" t="s">
        <v>70</v>
      </c>
      <c r="AT2" s="60" t="s">
        <v>71</v>
      </c>
      <c r="AU2" s="51" t="s">
        <v>72</v>
      </c>
      <c r="AV2" s="46" t="s">
        <v>73</v>
      </c>
      <c r="AX2" s="50" t="s">
        <v>26</v>
      </c>
    </row>
    <row r="3" spans="1:50" x14ac:dyDescent="0.6">
      <c r="B3" s="61" t="s">
        <v>74</v>
      </c>
      <c r="C3" s="62" t="s">
        <v>75</v>
      </c>
      <c r="D3" s="63" t="s">
        <v>76</v>
      </c>
      <c r="E3" s="64" t="s">
        <v>77</v>
      </c>
      <c r="F3" s="64" t="s">
        <v>77</v>
      </c>
      <c r="G3" s="65"/>
      <c r="H3" s="66" t="s">
        <v>78</v>
      </c>
      <c r="I3" s="67" t="s">
        <v>79</v>
      </c>
      <c r="J3" s="68" t="s">
        <v>80</v>
      </c>
      <c r="K3" s="69"/>
      <c r="L3" s="70"/>
      <c r="M3" s="71" t="s">
        <v>81</v>
      </c>
      <c r="N3" s="67" t="s">
        <v>82</v>
      </c>
      <c r="O3" s="68" t="s">
        <v>83</v>
      </c>
      <c r="P3" s="72"/>
      <c r="Q3" s="73" t="s">
        <v>84</v>
      </c>
      <c r="R3" s="74" t="s">
        <v>84</v>
      </c>
      <c r="S3" s="75" t="s">
        <v>85</v>
      </c>
      <c r="T3" s="75" t="s">
        <v>85</v>
      </c>
      <c r="U3" s="75" t="s">
        <v>86</v>
      </c>
      <c r="V3" s="75" t="s">
        <v>87</v>
      </c>
      <c r="W3" s="75" t="s">
        <v>88</v>
      </c>
      <c r="X3" s="75" t="s">
        <v>89</v>
      </c>
      <c r="Y3" s="75" t="s">
        <v>90</v>
      </c>
      <c r="Z3" s="75" t="s">
        <v>91</v>
      </c>
      <c r="AA3" s="75" t="s">
        <v>92</v>
      </c>
      <c r="AB3" s="75" t="s">
        <v>93</v>
      </c>
      <c r="AC3" s="76" t="s">
        <v>94</v>
      </c>
      <c r="AD3" s="74" t="s">
        <v>86</v>
      </c>
      <c r="AE3" s="75" t="s">
        <v>87</v>
      </c>
      <c r="AF3" s="75" t="s">
        <v>88</v>
      </c>
      <c r="AG3" s="75" t="s">
        <v>89</v>
      </c>
      <c r="AH3" s="75" t="s">
        <v>90</v>
      </c>
      <c r="AI3" s="75" t="s">
        <v>91</v>
      </c>
      <c r="AJ3" s="75" t="s">
        <v>92</v>
      </c>
      <c r="AK3" s="75" t="s">
        <v>93</v>
      </c>
      <c r="AL3" s="75" t="s">
        <v>94</v>
      </c>
      <c r="AM3" s="75" t="s">
        <v>95</v>
      </c>
      <c r="AN3" s="75" t="s">
        <v>96</v>
      </c>
      <c r="AO3" s="75"/>
      <c r="AP3" s="76"/>
      <c r="AQ3" s="74" t="s">
        <v>84</v>
      </c>
      <c r="AR3" s="77" t="s">
        <v>78</v>
      </c>
      <c r="AS3" s="67" t="s">
        <v>79</v>
      </c>
      <c r="AT3" s="68" t="s">
        <v>80</v>
      </c>
      <c r="AU3" s="69"/>
      <c r="AV3" s="78"/>
      <c r="AX3" s="79"/>
    </row>
    <row r="4" spans="1:50" x14ac:dyDescent="0.6">
      <c r="A4" s="69"/>
      <c r="B4" s="69"/>
      <c r="C4" s="69"/>
      <c r="D4" s="69"/>
      <c r="E4" s="61"/>
      <c r="G4" s="80"/>
      <c r="H4" s="68"/>
      <c r="I4" s="81"/>
      <c r="J4" s="68"/>
      <c r="K4" s="69"/>
      <c r="L4" s="82"/>
      <c r="M4" s="269"/>
      <c r="N4" s="70"/>
      <c r="O4" s="70"/>
      <c r="P4" s="72"/>
      <c r="Q4" s="73"/>
      <c r="R4" s="74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4"/>
      <c r="AR4" s="83"/>
      <c r="AS4" s="81"/>
      <c r="AT4" s="81"/>
      <c r="AU4" s="69"/>
      <c r="AV4" s="78"/>
      <c r="AX4" s="79"/>
    </row>
    <row r="5" spans="1:50" x14ac:dyDescent="0.6">
      <c r="A5" s="69" t="s">
        <v>97</v>
      </c>
      <c r="B5" s="84" t="s">
        <v>277</v>
      </c>
      <c r="C5" s="84" t="s">
        <v>278</v>
      </c>
      <c r="D5" s="69" t="s">
        <v>261</v>
      </c>
      <c r="E5" s="85"/>
      <c r="G5" s="305" t="s">
        <v>280</v>
      </c>
      <c r="H5" s="303">
        <v>634703.46900000004</v>
      </c>
      <c r="I5" s="75">
        <v>3046967.75</v>
      </c>
      <c r="J5" s="75">
        <v>354.34899999999999</v>
      </c>
      <c r="K5" s="304" t="s">
        <v>279</v>
      </c>
      <c r="L5" s="82">
        <v>1.96</v>
      </c>
      <c r="M5" s="269">
        <v>633905.23300000001</v>
      </c>
      <c r="N5" s="269">
        <v>3049240.4479999999</v>
      </c>
      <c r="O5" s="269">
        <v>56.39</v>
      </c>
      <c r="P5" s="87" t="s">
        <v>342</v>
      </c>
      <c r="Q5" s="73">
        <v>0.11</v>
      </c>
      <c r="R5" s="74">
        <v>2.0699999999999998</v>
      </c>
      <c r="S5" s="88">
        <v>90</v>
      </c>
      <c r="T5" s="79"/>
      <c r="U5" s="75">
        <v>1.75</v>
      </c>
      <c r="V5" s="75">
        <v>1.78</v>
      </c>
      <c r="W5" s="75">
        <v>1.85</v>
      </c>
      <c r="X5" s="75">
        <v>1.65</v>
      </c>
      <c r="Y5" s="75">
        <v>1.82</v>
      </c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342">
        <f t="shared" ref="AM5:AM10" si="0">AVERAGE(U5:AC5)</f>
        <v>1.7700000000000002</v>
      </c>
      <c r="AN5" s="89">
        <v>3.67</v>
      </c>
      <c r="AO5"/>
      <c r="AP5" s="76"/>
      <c r="AQ5" s="74">
        <f t="shared" ref="AQ5:AQ10" si="1">AN5-(AN5-Q5)*(SIN((S5+AX5)*PI()/180))/(COS(AX5*PI()/180))</f>
        <v>0.10999999999999988</v>
      </c>
      <c r="AR5" s="91">
        <f t="shared" ref="AR5:AR10" si="2">H5+($M$1-M5)-(AN5-Q5)*(COS(S5*PI()/180))*(SIN((T5+13+2.3)*PI()/180))</f>
        <v>634703.46900000004</v>
      </c>
      <c r="AS5" s="82">
        <f t="shared" ref="AS5:AS10" si="3">I5+($N$1-N5)-(AN5-Q5)*(COS(S5*PI()/180))*(COS((T5+13+2.3)*PI()/180))</f>
        <v>3046967.75</v>
      </c>
      <c r="AT5" s="82">
        <f t="shared" ref="AT5:AT10" si="4">J5+($O$1-O5)-R5+AN5-(AN5-Q5)*(SIN(S5*PI()/180))-L5</f>
        <v>350.31900000000002</v>
      </c>
      <c r="AU5" s="69"/>
      <c r="AV5" s="92"/>
      <c r="AX5" s="79"/>
    </row>
    <row r="6" spans="1:50" x14ac:dyDescent="0.6">
      <c r="A6" s="69" t="s">
        <v>98</v>
      </c>
      <c r="B6" s="84" t="s">
        <v>277</v>
      </c>
      <c r="C6" s="84" t="s">
        <v>282</v>
      </c>
      <c r="D6" s="69" t="s">
        <v>261</v>
      </c>
      <c r="E6" s="85"/>
      <c r="G6" s="86" t="s">
        <v>280</v>
      </c>
      <c r="H6" s="75">
        <v>634294.31299999997</v>
      </c>
      <c r="I6" s="75">
        <v>3046968.733</v>
      </c>
      <c r="J6" s="75">
        <v>334.37200000000001</v>
      </c>
      <c r="K6" s="304" t="s">
        <v>279</v>
      </c>
      <c r="L6" s="82">
        <v>1.96</v>
      </c>
      <c r="M6" s="269">
        <v>633905.23300000001</v>
      </c>
      <c r="N6" s="269">
        <v>3049240.4479999999</v>
      </c>
      <c r="O6" s="269">
        <v>56.39</v>
      </c>
      <c r="P6" s="87" t="s">
        <v>342</v>
      </c>
      <c r="Q6" s="73">
        <v>0.31</v>
      </c>
      <c r="R6" s="74">
        <v>2.27</v>
      </c>
      <c r="S6" s="88">
        <v>90</v>
      </c>
      <c r="T6" s="79"/>
      <c r="U6" s="19">
        <v>2.1</v>
      </c>
      <c r="V6" s="75">
        <v>2.0499999999999998</v>
      </c>
      <c r="W6" s="75">
        <v>2</v>
      </c>
      <c r="X6" s="75">
        <v>2.1</v>
      </c>
      <c r="Y6" s="75">
        <v>2.0499999999999998</v>
      </c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342">
        <f t="shared" si="0"/>
        <v>2.06</v>
      </c>
      <c r="AN6" s="89">
        <v>3.67</v>
      </c>
      <c r="AO6"/>
      <c r="AP6" s="76"/>
      <c r="AQ6" s="74">
        <f t="shared" si="1"/>
        <v>0.31000000000000005</v>
      </c>
      <c r="AR6" s="82">
        <f t="shared" si="2"/>
        <v>634294.31299999997</v>
      </c>
      <c r="AS6" s="82">
        <f t="shared" si="3"/>
        <v>3046968.733</v>
      </c>
      <c r="AT6" s="82">
        <f t="shared" si="4"/>
        <v>330.34200000000004</v>
      </c>
      <c r="AU6" s="69"/>
      <c r="AV6" s="92"/>
      <c r="AX6" s="79"/>
    </row>
    <row r="7" spans="1:50" x14ac:dyDescent="0.6">
      <c r="A7" s="69" t="s">
        <v>99</v>
      </c>
      <c r="B7" s="84" t="s">
        <v>277</v>
      </c>
      <c r="C7" s="84" t="s">
        <v>283</v>
      </c>
      <c r="D7" s="69" t="s">
        <v>261</v>
      </c>
      <c r="E7" s="85"/>
      <c r="G7" s="86" t="s">
        <v>280</v>
      </c>
      <c r="H7" s="75">
        <v>633935.57499999995</v>
      </c>
      <c r="I7" s="75">
        <v>3046873.7140000002</v>
      </c>
      <c r="J7" s="75">
        <v>314.76100000000002</v>
      </c>
      <c r="K7" s="304" t="s">
        <v>279</v>
      </c>
      <c r="L7" s="82">
        <v>1.96</v>
      </c>
      <c r="M7" s="269">
        <v>633905.23300000001</v>
      </c>
      <c r="N7" s="269">
        <v>3049240.4479999999</v>
      </c>
      <c r="O7" s="269">
        <v>56.39</v>
      </c>
      <c r="P7" s="87" t="s">
        <v>342</v>
      </c>
      <c r="Q7" s="73">
        <v>0.03</v>
      </c>
      <c r="R7" s="74">
        <v>1.99</v>
      </c>
      <c r="S7" s="88">
        <v>90</v>
      </c>
      <c r="T7" s="79"/>
      <c r="U7" s="75">
        <v>1.95</v>
      </c>
      <c r="V7" s="75">
        <v>1.9</v>
      </c>
      <c r="W7" s="75">
        <v>1.9</v>
      </c>
      <c r="X7" s="75">
        <v>2</v>
      </c>
      <c r="Y7" s="75">
        <v>2</v>
      </c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342">
        <f t="shared" si="0"/>
        <v>1.95</v>
      </c>
      <c r="AN7" s="89">
        <v>3.67</v>
      </c>
      <c r="AO7"/>
      <c r="AP7" s="76"/>
      <c r="AQ7" s="74">
        <f t="shared" si="1"/>
        <v>2.9999999999999805E-2</v>
      </c>
      <c r="AR7" s="82">
        <f t="shared" si="2"/>
        <v>633935.57499999995</v>
      </c>
      <c r="AS7" s="82">
        <f t="shared" si="3"/>
        <v>3046873.7140000002</v>
      </c>
      <c r="AT7" s="82">
        <f t="shared" si="4"/>
        <v>310.73100000000005</v>
      </c>
      <c r="AU7" s="69"/>
      <c r="AV7" s="92"/>
      <c r="AX7" s="79"/>
    </row>
    <row r="8" spans="1:50" x14ac:dyDescent="0.6">
      <c r="A8" s="69" t="s">
        <v>100</v>
      </c>
      <c r="B8" s="84" t="s">
        <v>277</v>
      </c>
      <c r="C8" s="84" t="s">
        <v>284</v>
      </c>
      <c r="D8" s="69" t="s">
        <v>261</v>
      </c>
      <c r="E8" s="85"/>
      <c r="G8" s="86" t="s">
        <v>280</v>
      </c>
      <c r="H8" s="75">
        <v>633559.76100000006</v>
      </c>
      <c r="I8" s="75">
        <v>3046667.0350000001</v>
      </c>
      <c r="J8" s="75">
        <v>282.94</v>
      </c>
      <c r="K8" s="304" t="s">
        <v>279</v>
      </c>
      <c r="L8" s="82">
        <v>1.96</v>
      </c>
      <c r="M8" s="269">
        <v>633905.23300000001</v>
      </c>
      <c r="N8" s="269">
        <v>3049240.4479999999</v>
      </c>
      <c r="O8" s="269">
        <v>56.39</v>
      </c>
      <c r="P8" s="87" t="s">
        <v>342</v>
      </c>
      <c r="Q8" s="73">
        <v>0.3</v>
      </c>
      <c r="R8" s="74">
        <v>2.2599999999999998</v>
      </c>
      <c r="S8" s="88">
        <v>90</v>
      </c>
      <c r="T8" s="79"/>
      <c r="U8" s="75">
        <v>1.85</v>
      </c>
      <c r="V8" s="75">
        <v>1.85</v>
      </c>
      <c r="W8" s="75">
        <v>1.85</v>
      </c>
      <c r="X8" s="75">
        <v>1.83</v>
      </c>
      <c r="Y8" s="75">
        <v>1.82</v>
      </c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342">
        <f t="shared" si="0"/>
        <v>1.8400000000000003</v>
      </c>
      <c r="AN8" s="89">
        <v>3.67</v>
      </c>
      <c r="AO8"/>
      <c r="AP8" s="76"/>
      <c r="AQ8" s="74">
        <f t="shared" si="1"/>
        <v>0.29999999999999982</v>
      </c>
      <c r="AR8" s="82">
        <f t="shared" si="2"/>
        <v>633559.76100000006</v>
      </c>
      <c r="AS8" s="82">
        <f t="shared" si="3"/>
        <v>3046667.0350000001</v>
      </c>
      <c r="AT8" s="82">
        <f t="shared" si="4"/>
        <v>278.91000000000003</v>
      </c>
      <c r="AU8" s="69"/>
      <c r="AV8" s="92"/>
      <c r="AX8" s="79"/>
    </row>
    <row r="9" spans="1:50" x14ac:dyDescent="0.6">
      <c r="A9" s="69" t="s">
        <v>101</v>
      </c>
      <c r="B9" s="84" t="s">
        <v>277</v>
      </c>
      <c r="C9" s="84" t="s">
        <v>285</v>
      </c>
      <c r="D9" s="69" t="s">
        <v>261</v>
      </c>
      <c r="E9" s="85"/>
      <c r="G9" s="86" t="s">
        <v>280</v>
      </c>
      <c r="H9" s="75">
        <v>633270.69999999995</v>
      </c>
      <c r="I9" s="75">
        <v>3046419.6850000001</v>
      </c>
      <c r="J9" s="75">
        <v>262.392</v>
      </c>
      <c r="K9" s="304" t="s">
        <v>279</v>
      </c>
      <c r="L9" s="82">
        <v>1E-3</v>
      </c>
      <c r="M9" s="269">
        <v>633905.23300000001</v>
      </c>
      <c r="N9" s="269">
        <v>3049240.4479999999</v>
      </c>
      <c r="O9" s="269">
        <v>56.39</v>
      </c>
      <c r="P9" s="87" t="s">
        <v>343</v>
      </c>
      <c r="Q9" s="73">
        <v>1.03</v>
      </c>
      <c r="R9" s="74">
        <v>1.0309999999999999</v>
      </c>
      <c r="S9" s="88">
        <v>90</v>
      </c>
      <c r="T9" s="79"/>
      <c r="U9" s="75">
        <v>1.23</v>
      </c>
      <c r="V9" s="75">
        <v>1.25</v>
      </c>
      <c r="W9" s="75">
        <v>1.2</v>
      </c>
      <c r="X9" s="75">
        <v>1.22</v>
      </c>
      <c r="Y9" s="75">
        <v>1.23</v>
      </c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342">
        <f t="shared" si="0"/>
        <v>1.2259999999999998</v>
      </c>
      <c r="AN9" s="89">
        <v>3.67</v>
      </c>
      <c r="AO9"/>
      <c r="AP9" s="76"/>
      <c r="AQ9" s="74">
        <f t="shared" si="1"/>
        <v>1.0300000000000002</v>
      </c>
      <c r="AR9" s="82">
        <f t="shared" si="2"/>
        <v>633270.69999999995</v>
      </c>
      <c r="AS9" s="82">
        <f t="shared" si="3"/>
        <v>3046419.6850000001</v>
      </c>
      <c r="AT9" s="82">
        <f t="shared" si="4"/>
        <v>262.28000000000003</v>
      </c>
      <c r="AU9" s="69"/>
      <c r="AV9" s="92"/>
      <c r="AX9" s="79"/>
    </row>
    <row r="10" spans="1:50" x14ac:dyDescent="0.6">
      <c r="A10" s="69" t="s">
        <v>102</v>
      </c>
      <c r="B10" s="84" t="s">
        <v>277</v>
      </c>
      <c r="C10" s="84" t="s">
        <v>286</v>
      </c>
      <c r="D10" s="69" t="s">
        <v>261</v>
      </c>
      <c r="E10" s="85"/>
      <c r="G10" s="86" t="s">
        <v>280</v>
      </c>
      <c r="H10" s="75">
        <v>632986.36199999996</v>
      </c>
      <c r="I10" s="75">
        <v>3046150.5830000001</v>
      </c>
      <c r="J10" s="75">
        <v>214.30799999999999</v>
      </c>
      <c r="K10" s="304" t="s">
        <v>279</v>
      </c>
      <c r="L10" s="82">
        <v>1.96</v>
      </c>
      <c r="M10" s="269">
        <v>633905.23300000001</v>
      </c>
      <c r="N10" s="269">
        <v>3049240.4479999999</v>
      </c>
      <c r="O10" s="269">
        <v>56.39</v>
      </c>
      <c r="P10" s="87" t="s">
        <v>342</v>
      </c>
      <c r="Q10" s="73">
        <v>0.14000000000000001</v>
      </c>
      <c r="R10" s="74">
        <v>2.1</v>
      </c>
      <c r="S10" s="88">
        <v>90</v>
      </c>
      <c r="T10" s="79"/>
      <c r="U10" s="75">
        <v>0.86</v>
      </c>
      <c r="V10" s="75">
        <v>0.9</v>
      </c>
      <c r="W10" s="75">
        <v>0.96</v>
      </c>
      <c r="X10" s="75">
        <v>0.85</v>
      </c>
      <c r="Y10" s="75">
        <v>0.9</v>
      </c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342">
        <f t="shared" si="0"/>
        <v>0.89399999999999991</v>
      </c>
      <c r="AN10" s="89">
        <v>3.67</v>
      </c>
      <c r="AO10"/>
      <c r="AP10" s="76"/>
      <c r="AQ10" s="74">
        <f t="shared" si="1"/>
        <v>0.14000000000000012</v>
      </c>
      <c r="AR10" s="82">
        <f t="shared" si="2"/>
        <v>632986.36199999996</v>
      </c>
      <c r="AS10" s="82">
        <f t="shared" si="3"/>
        <v>3046150.5830000001</v>
      </c>
      <c r="AT10" s="82">
        <f t="shared" si="4"/>
        <v>210.27799999999996</v>
      </c>
      <c r="AU10" s="69"/>
      <c r="AV10" s="92"/>
      <c r="AX10" s="79"/>
    </row>
    <row r="11" spans="1:50" x14ac:dyDescent="0.6">
      <c r="A11" s="105" t="s">
        <v>103</v>
      </c>
      <c r="B11" s="105"/>
      <c r="C11" s="105"/>
      <c r="D11" s="105"/>
      <c r="E11" s="106"/>
      <c r="F11" s="107"/>
      <c r="G11" s="108"/>
      <c r="H11" s="110"/>
      <c r="I11" s="110"/>
      <c r="J11" s="110"/>
      <c r="K11" s="268"/>
      <c r="L11" s="111"/>
      <c r="M11" s="112"/>
      <c r="N11" s="112"/>
      <c r="O11" s="112"/>
      <c r="P11" s="113"/>
      <c r="Q11" s="114"/>
      <c r="R11" s="109"/>
      <c r="S11" s="115"/>
      <c r="T11" s="115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6"/>
      <c r="AO11" s="117"/>
      <c r="AP11" s="118"/>
      <c r="AQ11" s="109"/>
      <c r="AR11" s="111"/>
      <c r="AS11" s="111"/>
      <c r="AT11" s="111"/>
      <c r="AU11" s="105"/>
      <c r="AV11" s="119"/>
      <c r="AX11" s="115"/>
    </row>
    <row r="12" spans="1:50" x14ac:dyDescent="0.6">
      <c r="A12" s="105" t="s">
        <v>104</v>
      </c>
      <c r="B12" s="105"/>
      <c r="C12" s="105"/>
      <c r="D12" s="105"/>
      <c r="E12" s="106"/>
      <c r="F12" s="107"/>
      <c r="G12" s="108"/>
      <c r="H12" s="110"/>
      <c r="I12" s="110"/>
      <c r="J12" s="110"/>
      <c r="K12" s="268"/>
      <c r="L12" s="111"/>
      <c r="M12" s="112"/>
      <c r="N12" s="112"/>
      <c r="O12" s="112"/>
      <c r="P12" s="113"/>
      <c r="Q12" s="114"/>
      <c r="R12" s="109"/>
      <c r="S12" s="115"/>
      <c r="T12" s="115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6"/>
      <c r="AO12" s="117"/>
      <c r="AP12" s="118"/>
      <c r="AQ12" s="109"/>
      <c r="AR12" s="111"/>
      <c r="AS12" s="111"/>
      <c r="AT12" s="111"/>
      <c r="AU12" s="105"/>
      <c r="AV12" s="119"/>
      <c r="AX12" s="115"/>
    </row>
    <row r="13" spans="1:50" x14ac:dyDescent="0.6">
      <c r="A13" s="105" t="s">
        <v>105</v>
      </c>
      <c r="B13" s="105"/>
      <c r="C13" s="105"/>
      <c r="D13" s="105"/>
      <c r="E13" s="106"/>
      <c r="F13" s="107"/>
      <c r="G13" s="108"/>
      <c r="H13" s="110"/>
      <c r="I13" s="110"/>
      <c r="J13" s="110"/>
      <c r="K13" s="268"/>
      <c r="L13" s="111"/>
      <c r="M13" s="112"/>
      <c r="N13" s="112"/>
      <c r="O13" s="112"/>
      <c r="P13" s="113"/>
      <c r="Q13" s="114"/>
      <c r="R13" s="109"/>
      <c r="S13" s="115"/>
      <c r="T13" s="115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6"/>
      <c r="AO13" s="117"/>
      <c r="AP13" s="118"/>
      <c r="AQ13" s="109"/>
      <c r="AR13" s="111"/>
      <c r="AS13" s="111"/>
      <c r="AT13" s="111"/>
      <c r="AU13" s="105"/>
      <c r="AV13" s="119"/>
      <c r="AX13" s="115"/>
    </row>
    <row r="14" spans="1:50" x14ac:dyDescent="0.6">
      <c r="A14" s="69" t="s">
        <v>106</v>
      </c>
      <c r="B14" s="84" t="s">
        <v>277</v>
      </c>
      <c r="C14" s="84" t="s">
        <v>281</v>
      </c>
      <c r="D14" s="69" t="s">
        <v>261</v>
      </c>
      <c r="E14" s="85"/>
      <c r="G14" s="305" t="s">
        <v>280</v>
      </c>
      <c r="H14" s="75">
        <v>634151.65800000005</v>
      </c>
      <c r="I14" s="75">
        <v>3047372.503</v>
      </c>
      <c r="J14" s="75">
        <v>314.99700000000001</v>
      </c>
      <c r="K14" s="304" t="s">
        <v>279</v>
      </c>
      <c r="L14" s="82">
        <v>1.96</v>
      </c>
      <c r="M14" s="269">
        <v>633905.23300000001</v>
      </c>
      <c r="N14" s="269">
        <v>3049240.4479999999</v>
      </c>
      <c r="O14" s="269">
        <v>56.39</v>
      </c>
      <c r="P14" s="87" t="s">
        <v>344</v>
      </c>
      <c r="Q14" s="73">
        <v>0.01</v>
      </c>
      <c r="R14" s="74">
        <v>1.97</v>
      </c>
      <c r="S14" s="88">
        <v>90</v>
      </c>
      <c r="T14" s="79"/>
      <c r="U14" s="75">
        <v>1.98</v>
      </c>
      <c r="V14" s="75">
        <v>2.02</v>
      </c>
      <c r="W14" s="75">
        <v>1.95</v>
      </c>
      <c r="X14" s="75">
        <v>1.94</v>
      </c>
      <c r="Y14" s="75">
        <v>2.0499999999999998</v>
      </c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342">
        <f t="shared" ref="AM14:AM15" si="5">AVERAGE(U14:AC14)</f>
        <v>1.9880000000000002</v>
      </c>
      <c r="AN14" s="89">
        <v>3.67</v>
      </c>
      <c r="AO14"/>
      <c r="AP14" s="76"/>
      <c r="AQ14" s="74">
        <f>AN14-(AN14-Q14)*(SIN((S14+AX14)*PI()/180))/(COS(AX14*PI()/180))</f>
        <v>9.9999999999997868E-3</v>
      </c>
      <c r="AR14" s="82">
        <f>H14+($M$1-M14)-(AN14-Q14)*(COS(S14*PI()/180))*(SIN((T14+13+2.3)*PI()/180))</f>
        <v>634151.65800000005</v>
      </c>
      <c r="AS14" s="82">
        <f>I14+($N$1-N14)-(AN14-Q14)*(COS(S14*PI()/180))*(COS((T14+13+2.3)*PI()/180))</f>
        <v>3047372.503</v>
      </c>
      <c r="AT14" s="82">
        <f>J14+($O$1-O14)-R14+AN14-(AN14-Q14)*(SIN(S14*PI()/180))-L14</f>
        <v>310.96699999999998</v>
      </c>
      <c r="AU14" s="69"/>
      <c r="AV14" s="92"/>
      <c r="AX14" s="79"/>
    </row>
    <row r="15" spans="1:50" x14ac:dyDescent="0.6">
      <c r="A15" s="18" t="s">
        <v>107</v>
      </c>
      <c r="B15" s="84" t="s">
        <v>277</v>
      </c>
      <c r="C15" s="84" t="s">
        <v>287</v>
      </c>
      <c r="D15" s="69" t="s">
        <v>261</v>
      </c>
      <c r="E15" s="85"/>
      <c r="G15" s="305" t="s">
        <v>280</v>
      </c>
      <c r="H15" s="19">
        <v>633792.12199999997</v>
      </c>
      <c r="I15" s="19">
        <v>3047682.5219999999</v>
      </c>
      <c r="J15" s="19">
        <v>289.68900000000002</v>
      </c>
      <c r="K15" s="304" t="s">
        <v>279</v>
      </c>
      <c r="L15" s="82">
        <v>0</v>
      </c>
      <c r="M15" s="269">
        <v>633905.23300000001</v>
      </c>
      <c r="N15" s="269">
        <v>3049240.4479999999</v>
      </c>
      <c r="O15" s="269">
        <v>56.39</v>
      </c>
      <c r="P15" s="87" t="s">
        <v>343</v>
      </c>
      <c r="Q15" s="73">
        <v>1.29</v>
      </c>
      <c r="R15" s="74">
        <v>1.29</v>
      </c>
      <c r="S15" s="88">
        <v>90</v>
      </c>
      <c r="T15" s="79"/>
      <c r="U15" s="75">
        <v>1</v>
      </c>
      <c r="V15" s="75">
        <v>1</v>
      </c>
      <c r="W15" s="75">
        <v>0.95</v>
      </c>
      <c r="X15" s="75">
        <v>0.95</v>
      </c>
      <c r="Y15" s="75">
        <v>1</v>
      </c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342">
        <f t="shared" si="5"/>
        <v>0.98000000000000009</v>
      </c>
      <c r="AN15" s="89">
        <v>3.67</v>
      </c>
      <c r="AO15"/>
      <c r="AP15" s="76"/>
      <c r="AQ15" s="74">
        <f>AN15-(AN15-Q15)*(SIN((S15+AX15)*PI()/180))/(COS(AX15*PI()/180))</f>
        <v>1.29</v>
      </c>
      <c r="AR15" s="82">
        <f>H15+($M$1-M15)-(AN15-Q15)*(COS(S15*PI()/180))*(SIN((T15+13+2.3)*PI()/180))</f>
        <v>633792.12199999997</v>
      </c>
      <c r="AS15" s="82">
        <f>I15+($N$1-N15)-(AN15-Q15)*(COS(S15*PI()/180))*(COS((T15+13+2.3)*PI()/180))</f>
        <v>3047682.5219999999</v>
      </c>
      <c r="AT15" s="82">
        <f>J15+($O$1-O15)-R15+AN15-(AN15-Q15)*(SIN(S15*PI()/180))-L15</f>
        <v>289.57900000000001</v>
      </c>
      <c r="AU15" s="69"/>
      <c r="AV15" s="92"/>
      <c r="AX15" s="79"/>
    </row>
    <row r="16" spans="1:50" x14ac:dyDescent="0.6">
      <c r="A16" s="105" t="s">
        <v>108</v>
      </c>
      <c r="B16" s="105"/>
      <c r="C16" s="105"/>
      <c r="D16" s="105"/>
      <c r="E16" s="106"/>
      <c r="F16" s="107"/>
      <c r="G16" s="108"/>
      <c r="H16" s="110"/>
      <c r="I16" s="110"/>
      <c r="J16" s="110"/>
      <c r="K16" s="268"/>
      <c r="L16" s="111"/>
      <c r="M16" s="112"/>
      <c r="N16" s="112"/>
      <c r="O16" s="112"/>
      <c r="P16" s="113"/>
      <c r="Q16" s="114"/>
      <c r="R16" s="109"/>
      <c r="S16" s="115"/>
      <c r="T16" s="115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6"/>
      <c r="AO16" s="117"/>
      <c r="AP16" s="118"/>
      <c r="AQ16" s="109"/>
      <c r="AR16" s="111"/>
      <c r="AS16" s="111"/>
      <c r="AT16" s="111"/>
      <c r="AU16" s="105"/>
      <c r="AV16" s="119"/>
      <c r="AX16" s="105"/>
    </row>
    <row r="17" spans="1:50" x14ac:dyDescent="0.6">
      <c r="A17" s="105" t="s">
        <v>109</v>
      </c>
      <c r="B17" s="105"/>
      <c r="C17" s="105"/>
      <c r="D17" s="105"/>
      <c r="E17" s="106"/>
      <c r="F17" s="107"/>
      <c r="G17" s="108"/>
      <c r="H17" s="110"/>
      <c r="I17" s="110"/>
      <c r="J17" s="110"/>
      <c r="K17" s="268"/>
      <c r="L17" s="111"/>
      <c r="M17" s="112"/>
      <c r="N17" s="112"/>
      <c r="O17" s="112"/>
      <c r="P17" s="113"/>
      <c r="Q17" s="114"/>
      <c r="R17" s="109"/>
      <c r="S17" s="115"/>
      <c r="T17" s="115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6"/>
      <c r="AO17" s="117"/>
      <c r="AP17" s="118"/>
      <c r="AQ17" s="109"/>
      <c r="AR17" s="111"/>
      <c r="AS17" s="111"/>
      <c r="AT17" s="111"/>
      <c r="AU17" s="105"/>
      <c r="AV17" s="119"/>
      <c r="AX17" s="105"/>
    </row>
    <row r="18" spans="1:50" x14ac:dyDescent="0.6">
      <c r="A18" s="105" t="s">
        <v>110</v>
      </c>
      <c r="B18" s="105"/>
      <c r="C18" s="105"/>
      <c r="D18" s="105"/>
      <c r="E18" s="106"/>
      <c r="F18" s="107"/>
      <c r="G18" s="108"/>
      <c r="H18" s="110"/>
      <c r="I18" s="110"/>
      <c r="J18" s="110"/>
      <c r="K18" s="268"/>
      <c r="L18" s="111"/>
      <c r="M18" s="112"/>
      <c r="N18" s="112"/>
      <c r="O18" s="112"/>
      <c r="P18" s="113"/>
      <c r="Q18" s="114"/>
      <c r="R18" s="109"/>
      <c r="S18" s="115"/>
      <c r="T18" s="115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6"/>
      <c r="AO18" s="117"/>
      <c r="AP18" s="118"/>
      <c r="AQ18" s="109"/>
      <c r="AR18" s="111"/>
      <c r="AS18" s="111"/>
      <c r="AT18" s="111"/>
      <c r="AU18" s="105"/>
      <c r="AV18" s="119"/>
      <c r="AX18" s="105"/>
    </row>
    <row r="19" spans="1:50" x14ac:dyDescent="0.6">
      <c r="A19" s="105" t="s">
        <v>111</v>
      </c>
      <c r="B19" s="105"/>
      <c r="C19" s="105"/>
      <c r="D19" s="105"/>
      <c r="E19" s="106"/>
      <c r="F19" s="107"/>
      <c r="G19" s="108"/>
      <c r="H19" s="110"/>
      <c r="I19" s="110"/>
      <c r="J19" s="110"/>
      <c r="K19" s="268"/>
      <c r="L19" s="111"/>
      <c r="M19" s="112"/>
      <c r="N19" s="112"/>
      <c r="O19" s="112"/>
      <c r="P19" s="113"/>
      <c r="Q19" s="114"/>
      <c r="R19" s="109"/>
      <c r="S19" s="115"/>
      <c r="T19" s="115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6"/>
      <c r="AO19" s="117"/>
      <c r="AP19" s="118"/>
      <c r="AQ19" s="109"/>
      <c r="AR19" s="111"/>
      <c r="AS19" s="111"/>
      <c r="AT19" s="111"/>
      <c r="AU19" s="105"/>
      <c r="AV19" s="119"/>
      <c r="AX19" s="115"/>
    </row>
    <row r="20" spans="1:50" x14ac:dyDescent="0.6">
      <c r="A20" s="105" t="s">
        <v>112</v>
      </c>
      <c r="B20" s="105"/>
      <c r="C20" s="105"/>
      <c r="D20" s="105"/>
      <c r="E20" s="106"/>
      <c r="F20" s="107"/>
      <c r="G20" s="108"/>
      <c r="H20" s="110"/>
      <c r="I20" s="110"/>
      <c r="J20" s="110"/>
      <c r="K20" s="268"/>
      <c r="L20" s="111"/>
      <c r="M20" s="112"/>
      <c r="N20" s="112"/>
      <c r="O20" s="112"/>
      <c r="P20" s="113"/>
      <c r="Q20" s="114"/>
      <c r="R20" s="109"/>
      <c r="S20" s="115"/>
      <c r="T20" s="115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6"/>
      <c r="AO20" s="117"/>
      <c r="AP20" s="118"/>
      <c r="AQ20" s="109"/>
      <c r="AR20" s="111"/>
      <c r="AS20" s="111"/>
      <c r="AT20" s="111"/>
      <c r="AU20" s="105"/>
      <c r="AV20" s="119"/>
      <c r="AX20" s="115"/>
    </row>
    <row r="21" spans="1:50" x14ac:dyDescent="0.6">
      <c r="A21" s="105" t="s">
        <v>113</v>
      </c>
      <c r="B21" s="105"/>
      <c r="C21" s="105"/>
      <c r="D21" s="105"/>
      <c r="E21" s="106"/>
      <c r="F21" s="107"/>
      <c r="G21" s="108"/>
      <c r="H21" s="110"/>
      <c r="I21" s="110"/>
      <c r="J21" s="110"/>
      <c r="K21" s="268"/>
      <c r="L21" s="111"/>
      <c r="M21" s="112"/>
      <c r="N21" s="112"/>
      <c r="O21" s="112"/>
      <c r="P21" s="113"/>
      <c r="Q21" s="114"/>
      <c r="R21" s="109"/>
      <c r="S21" s="115"/>
      <c r="T21" s="115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6"/>
      <c r="AO21" s="117"/>
      <c r="AP21" s="118"/>
      <c r="AQ21" s="109"/>
      <c r="AR21" s="111"/>
      <c r="AS21" s="111"/>
      <c r="AT21" s="111"/>
      <c r="AU21" s="105"/>
      <c r="AV21" s="119"/>
      <c r="AX21" s="115"/>
    </row>
    <row r="22" spans="1:50" x14ac:dyDescent="0.6">
      <c r="A22" s="105" t="s">
        <v>114</v>
      </c>
      <c r="B22" s="105"/>
      <c r="C22" s="105"/>
      <c r="D22" s="105"/>
      <c r="E22" s="106"/>
      <c r="F22" s="107"/>
      <c r="G22" s="108"/>
      <c r="H22" s="110"/>
      <c r="I22" s="110"/>
      <c r="J22" s="110"/>
      <c r="K22" s="268"/>
      <c r="L22" s="111"/>
      <c r="M22" s="112"/>
      <c r="N22" s="112"/>
      <c r="O22" s="112"/>
      <c r="P22" s="113"/>
      <c r="Q22" s="114"/>
      <c r="R22" s="109"/>
      <c r="S22" s="115"/>
      <c r="T22" s="115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6"/>
      <c r="AO22" s="117"/>
      <c r="AP22" s="118"/>
      <c r="AQ22" s="109"/>
      <c r="AR22" s="111"/>
      <c r="AS22" s="111"/>
      <c r="AT22" s="111"/>
      <c r="AU22" s="105"/>
      <c r="AV22" s="119"/>
      <c r="AX22" s="115"/>
    </row>
    <row r="23" spans="1:50" x14ac:dyDescent="0.6">
      <c r="A23" s="105" t="s">
        <v>115</v>
      </c>
      <c r="B23" s="105"/>
      <c r="C23" s="105"/>
      <c r="D23" s="105"/>
      <c r="E23" s="106"/>
      <c r="F23" s="107"/>
      <c r="G23" s="108"/>
      <c r="H23" s="110"/>
      <c r="I23" s="110"/>
      <c r="J23" s="110"/>
      <c r="K23" s="268"/>
      <c r="L23" s="111"/>
      <c r="M23" s="112"/>
      <c r="N23" s="112"/>
      <c r="O23" s="112"/>
      <c r="P23" s="113"/>
      <c r="Q23" s="114"/>
      <c r="R23" s="109"/>
      <c r="S23" s="115"/>
      <c r="T23" s="115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6"/>
      <c r="AO23" s="117"/>
      <c r="AP23" s="118"/>
      <c r="AQ23" s="109"/>
      <c r="AR23" s="111"/>
      <c r="AS23" s="111"/>
      <c r="AT23" s="111"/>
      <c r="AU23" s="105"/>
      <c r="AV23" s="119"/>
      <c r="AX23" s="115"/>
    </row>
    <row r="24" spans="1:50" x14ac:dyDescent="0.6">
      <c r="A24" s="69" t="s">
        <v>116</v>
      </c>
      <c r="B24" s="84" t="s">
        <v>303</v>
      </c>
      <c r="C24" s="84" t="s">
        <v>308</v>
      </c>
      <c r="D24" s="69" t="s">
        <v>261</v>
      </c>
      <c r="E24" s="85"/>
      <c r="G24" s="86" t="s">
        <v>304</v>
      </c>
      <c r="H24" s="269">
        <v>634601.78</v>
      </c>
      <c r="I24" s="269">
        <v>3046411.69</v>
      </c>
      <c r="J24" s="269">
        <v>323.51299999999998</v>
      </c>
      <c r="K24" s="130" t="s">
        <v>279</v>
      </c>
      <c r="L24" s="82">
        <v>1.1000000000000001</v>
      </c>
      <c r="M24" s="269">
        <v>633905.23300000001</v>
      </c>
      <c r="N24" s="269">
        <v>3049240.4479999999</v>
      </c>
      <c r="O24" s="269">
        <v>56.39</v>
      </c>
      <c r="P24" s="87" t="s">
        <v>345</v>
      </c>
      <c r="Q24" s="73">
        <v>0.2</v>
      </c>
      <c r="R24" s="74">
        <v>1.3</v>
      </c>
      <c r="S24" s="88">
        <v>90</v>
      </c>
      <c r="T24" s="79"/>
      <c r="U24" s="75">
        <v>1.7</v>
      </c>
      <c r="V24" s="75">
        <v>1.75</v>
      </c>
      <c r="W24" s="75">
        <v>1.7</v>
      </c>
      <c r="X24" s="75">
        <v>1.83</v>
      </c>
      <c r="Y24" s="75">
        <v>1.8</v>
      </c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342">
        <f t="shared" ref="AM24" si="6">AVERAGE(U24:AC24)</f>
        <v>1.7560000000000002</v>
      </c>
      <c r="AN24" s="89">
        <v>3.67</v>
      </c>
      <c r="AO24"/>
      <c r="AP24" s="76"/>
      <c r="AQ24" s="74">
        <f>AN24-(AN24-Q24)*(SIN((S24+AX24)*PI()/180))/(COS(AX24*PI()/180))</f>
        <v>0.20000000000000018</v>
      </c>
      <c r="AR24" s="82">
        <f>H24+($M$1-M24)-(AN24-Q24)*(COS(S24*PI()/180))*(SIN((T24+13+2.3)*PI()/180))</f>
        <v>634601.78</v>
      </c>
      <c r="AS24" s="82">
        <f>I24+($N$1-N24)-(AN24-Q24)*(COS(S24*PI()/180))*(COS((T24+13+2.3)*PI()/180))</f>
        <v>3046411.69</v>
      </c>
      <c r="AT24" s="82">
        <f>J24+($O$1-O24)-R24+AN24-(AN24-Q24)*(SIN(S24*PI()/180))-L24</f>
        <v>321.20299999999992</v>
      </c>
      <c r="AU24" s="69"/>
      <c r="AV24" s="92"/>
      <c r="AX24" s="79"/>
    </row>
    <row r="25" spans="1:50" x14ac:dyDescent="0.6">
      <c r="A25" s="105" t="s">
        <v>117</v>
      </c>
      <c r="B25" s="105"/>
      <c r="C25" s="105"/>
      <c r="D25" s="105"/>
      <c r="E25" s="106"/>
      <c r="F25" s="107"/>
      <c r="G25" s="108"/>
      <c r="H25" s="110"/>
      <c r="I25" s="110"/>
      <c r="J25" s="110"/>
      <c r="K25" s="268"/>
      <c r="L25" s="111"/>
      <c r="M25" s="112"/>
      <c r="N25" s="112"/>
      <c r="O25" s="112"/>
      <c r="P25" s="113"/>
      <c r="Q25" s="114"/>
      <c r="R25" s="109"/>
      <c r="S25" s="115"/>
      <c r="T25" s="115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6"/>
      <c r="AO25" s="117"/>
      <c r="AP25" s="118"/>
      <c r="AQ25" s="109"/>
      <c r="AR25" s="111"/>
      <c r="AS25" s="111"/>
      <c r="AT25" s="111"/>
      <c r="AU25" s="105"/>
      <c r="AV25" s="119"/>
      <c r="AX25" s="115"/>
    </row>
    <row r="26" spans="1:50" x14ac:dyDescent="0.6">
      <c r="A26" s="69" t="s">
        <v>118</v>
      </c>
      <c r="B26" s="84" t="s">
        <v>303</v>
      </c>
      <c r="C26" s="84" t="s">
        <v>306</v>
      </c>
      <c r="D26" s="69" t="s">
        <v>261</v>
      </c>
      <c r="E26" s="85"/>
      <c r="G26" s="86" t="s">
        <v>304</v>
      </c>
      <c r="H26" s="269">
        <v>633897.52399999998</v>
      </c>
      <c r="I26" s="269">
        <v>3046229.4509999999</v>
      </c>
      <c r="J26" s="269">
        <v>288.625</v>
      </c>
      <c r="K26" s="130" t="s">
        <v>279</v>
      </c>
      <c r="L26" s="82">
        <v>0.88</v>
      </c>
      <c r="M26" s="269">
        <v>633905.23300000001</v>
      </c>
      <c r="N26" s="269">
        <v>3049240.4479999999</v>
      </c>
      <c r="O26" s="269">
        <v>56.39</v>
      </c>
      <c r="P26" s="87" t="s">
        <v>346</v>
      </c>
      <c r="Q26" s="73">
        <v>0.46</v>
      </c>
      <c r="R26" s="74">
        <v>1.34</v>
      </c>
      <c r="S26" s="88">
        <v>90</v>
      </c>
      <c r="T26" s="79"/>
      <c r="U26" s="75">
        <v>1.47</v>
      </c>
      <c r="V26" s="75">
        <v>1.55</v>
      </c>
      <c r="W26" s="75">
        <v>1.46</v>
      </c>
      <c r="X26" s="75">
        <v>1.46</v>
      </c>
      <c r="Y26" s="75">
        <v>1.36</v>
      </c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K26" s="75"/>
      <c r="AL26" s="75"/>
      <c r="AM26" s="342">
        <f t="shared" ref="AM26:AM27" si="7">AVERAGE(U26:AC26)</f>
        <v>1.4600000000000002</v>
      </c>
      <c r="AN26" s="89">
        <v>3.67</v>
      </c>
      <c r="AO26"/>
      <c r="AP26" s="76"/>
      <c r="AQ26" s="74">
        <f>AN26-(AN26-Q26)*(SIN((S26+AX26)*PI()/180))/(COS(AX26*PI()/180))</f>
        <v>0.45999999999999996</v>
      </c>
      <c r="AR26" s="82">
        <f>H26+($M$1-M26)-(AN26-Q26)*(COS(S26*PI()/180))*(SIN((T26+13+2.3)*PI()/180))</f>
        <v>633897.52399999998</v>
      </c>
      <c r="AS26" s="82">
        <f>I26+($N$1-N26)-(AN26-Q26)*(COS(S26*PI()/180))*(COS((T26+13+2.3)*PI()/180))</f>
        <v>3046229.4509999999</v>
      </c>
      <c r="AT26" s="82">
        <f>J26+($O$1-O26)-R26+AN26-(AN26-Q26)*(SIN(S26*PI()/180))-L26</f>
        <v>286.75500000000005</v>
      </c>
      <c r="AU26" s="69"/>
      <c r="AV26" s="92"/>
      <c r="AX26" s="79"/>
    </row>
    <row r="27" spans="1:50" x14ac:dyDescent="0.6">
      <c r="A27" s="69" t="s">
        <v>119</v>
      </c>
      <c r="B27" s="84" t="s">
        <v>277</v>
      </c>
      <c r="C27" s="84" t="s">
        <v>288</v>
      </c>
      <c r="D27" s="69" t="s">
        <v>261</v>
      </c>
      <c r="E27" s="85"/>
      <c r="G27" s="86" t="s">
        <v>280</v>
      </c>
      <c r="H27" s="75">
        <v>633433.34699999995</v>
      </c>
      <c r="I27" s="75">
        <v>3046020.4190000002</v>
      </c>
      <c r="J27" s="75">
        <v>254.22900000000001</v>
      </c>
      <c r="K27" s="304" t="s">
        <v>279</v>
      </c>
      <c r="L27" s="82">
        <v>1.96</v>
      </c>
      <c r="M27" s="269">
        <v>633905.23300000001</v>
      </c>
      <c r="N27" s="269">
        <v>3049240.4479999999</v>
      </c>
      <c r="O27" s="269">
        <v>56.39</v>
      </c>
      <c r="P27" s="87" t="s">
        <v>342</v>
      </c>
      <c r="Q27" s="73">
        <v>0.27</v>
      </c>
      <c r="R27" s="74">
        <v>2.23</v>
      </c>
      <c r="S27" s="88">
        <v>90</v>
      </c>
      <c r="T27" s="79"/>
      <c r="U27" s="75">
        <v>1.9</v>
      </c>
      <c r="V27" s="75">
        <v>2</v>
      </c>
      <c r="W27" s="75">
        <v>1.83</v>
      </c>
      <c r="X27" s="75">
        <v>1.83</v>
      </c>
      <c r="Y27" s="75">
        <v>1.8</v>
      </c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342">
        <f t="shared" si="7"/>
        <v>1.8720000000000003</v>
      </c>
      <c r="AN27" s="89">
        <v>3.67</v>
      </c>
      <c r="AO27"/>
      <c r="AP27" s="76"/>
      <c r="AQ27" s="74">
        <f>AN27-(AN27-Q27)*(SIN((S27+AX27)*PI()/180))/(COS(AX27*PI()/180))</f>
        <v>0.27</v>
      </c>
      <c r="AR27" s="82">
        <f>H27+($M$1-M27)-(AN27-Q27)*(COS(S27*PI()/180))*(SIN((T27+13+2.3)*PI()/180))</f>
        <v>633433.34699999995</v>
      </c>
      <c r="AS27" s="82">
        <f>I27+($N$1-N27)-(AN27-Q27)*(COS(S27*PI()/180))*(COS((T27+13+2.3)*PI()/180))</f>
        <v>3046020.4190000002</v>
      </c>
      <c r="AT27" s="82">
        <f>J27+($O$1-O27)-R27+AN27-(AN27-Q27)*(SIN(S27*PI()/180))-L27</f>
        <v>250.19900000000001</v>
      </c>
      <c r="AU27" s="69"/>
      <c r="AV27" s="92"/>
      <c r="AX27" s="79"/>
    </row>
    <row r="28" spans="1:50" x14ac:dyDescent="0.6">
      <c r="A28" s="105" t="s">
        <v>120</v>
      </c>
      <c r="B28" s="105"/>
      <c r="C28" s="105"/>
      <c r="D28" s="105"/>
      <c r="E28" s="106"/>
      <c r="F28" s="107"/>
      <c r="G28" s="108"/>
      <c r="H28" s="110"/>
      <c r="I28" s="110"/>
      <c r="J28" s="110"/>
      <c r="K28" s="268"/>
      <c r="L28" s="111"/>
      <c r="M28" s="112"/>
      <c r="N28" s="112"/>
      <c r="O28" s="112"/>
      <c r="P28" s="113"/>
      <c r="Q28" s="114"/>
      <c r="R28" s="109"/>
      <c r="S28" s="115"/>
      <c r="T28" s="115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6"/>
      <c r="AO28" s="117"/>
      <c r="AP28" s="118"/>
      <c r="AQ28" s="109"/>
      <c r="AR28" s="111"/>
      <c r="AS28" s="111"/>
      <c r="AT28" s="111"/>
      <c r="AU28" s="105"/>
      <c r="AV28" s="119"/>
      <c r="AX28" s="115"/>
    </row>
    <row r="29" spans="1:50" x14ac:dyDescent="0.6">
      <c r="A29" s="69" t="s">
        <v>121</v>
      </c>
      <c r="B29" s="84" t="s">
        <v>277</v>
      </c>
      <c r="C29" s="84" t="s">
        <v>289</v>
      </c>
      <c r="D29" s="69" t="s">
        <v>261</v>
      </c>
      <c r="E29" s="85"/>
      <c r="G29" s="86" t="s">
        <v>280</v>
      </c>
      <c r="H29" s="75">
        <v>633199.85600000003</v>
      </c>
      <c r="I29" s="75">
        <v>3046652.3820000002</v>
      </c>
      <c r="J29" s="75">
        <v>257.75099999999998</v>
      </c>
      <c r="K29" s="304" t="s">
        <v>279</v>
      </c>
      <c r="L29" s="82">
        <v>1.96</v>
      </c>
      <c r="M29" s="269">
        <v>633905.23300000001</v>
      </c>
      <c r="N29" s="269">
        <v>3049240.4479999999</v>
      </c>
      <c r="O29" s="269">
        <v>56.39</v>
      </c>
      <c r="P29" s="87" t="s">
        <v>342</v>
      </c>
      <c r="Q29" s="73">
        <v>0.61</v>
      </c>
      <c r="R29" s="74">
        <v>2.57</v>
      </c>
      <c r="S29" s="88">
        <v>90</v>
      </c>
      <c r="T29" s="79"/>
      <c r="U29" s="75">
        <v>0.54</v>
      </c>
      <c r="V29" s="75">
        <v>0.55000000000000004</v>
      </c>
      <c r="W29" s="75">
        <v>0.78</v>
      </c>
      <c r="X29" s="75">
        <v>0.79</v>
      </c>
      <c r="Y29" s="75">
        <v>0.73</v>
      </c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342">
        <f t="shared" ref="AM29:AM31" si="8">AVERAGE(U29:AC29)</f>
        <v>0.67800000000000005</v>
      </c>
      <c r="AN29" s="89">
        <v>3.67</v>
      </c>
      <c r="AO29"/>
      <c r="AP29" s="76"/>
      <c r="AQ29" s="74">
        <f>AN29-(AN29-Q29)*(SIN((S29+AX29)*PI()/180))/(COS(AX29*PI()/180))</f>
        <v>0.60999999999999988</v>
      </c>
      <c r="AR29" s="82">
        <f>H29+($M$1-M29)-(AN29-Q29)*(COS(S29*PI()/180))*(SIN((T29+13+2.3)*PI()/180))</f>
        <v>633199.85600000003</v>
      </c>
      <c r="AS29" s="82">
        <f>I29+($N$1-N29)-(AN29-Q29)*(COS(S29*PI()/180))*(COS((T29+13+2.3)*PI()/180))</f>
        <v>3046652.3820000002</v>
      </c>
      <c r="AT29" s="82">
        <f>J29+($O$1-O29)-R29+AN29-(AN29-Q29)*(SIN(S29*PI()/180))-L29</f>
        <v>253.72099999999998</v>
      </c>
      <c r="AU29" s="69"/>
      <c r="AV29" s="92"/>
      <c r="AX29" s="79"/>
    </row>
    <row r="30" spans="1:50" x14ac:dyDescent="0.6">
      <c r="A30" s="69" t="s">
        <v>122</v>
      </c>
      <c r="B30" s="84" t="s">
        <v>322</v>
      </c>
      <c r="C30" s="84" t="s">
        <v>286</v>
      </c>
      <c r="D30" s="69" t="s">
        <v>261</v>
      </c>
      <c r="E30" s="85"/>
      <c r="G30" s="86" t="s">
        <v>323</v>
      </c>
      <c r="H30" s="75">
        <v>633235.34900000005</v>
      </c>
      <c r="I30" s="75">
        <v>3046916.3569999998</v>
      </c>
      <c r="J30" s="75">
        <v>261.74599999999998</v>
      </c>
      <c r="K30" s="130" t="s">
        <v>279</v>
      </c>
      <c r="L30" s="82">
        <v>1E-3</v>
      </c>
      <c r="M30" s="269">
        <v>633905.23300000001</v>
      </c>
      <c r="N30" s="269">
        <v>3049240.4479999999</v>
      </c>
      <c r="O30" s="269">
        <v>56.39</v>
      </c>
      <c r="P30" s="87" t="s">
        <v>343</v>
      </c>
      <c r="Q30" s="73">
        <v>1.23</v>
      </c>
      <c r="R30" s="74">
        <v>1.2309999999999999</v>
      </c>
      <c r="S30" s="88">
        <v>90</v>
      </c>
      <c r="T30" s="79"/>
      <c r="U30" s="75">
        <v>1.1200000000000001</v>
      </c>
      <c r="V30" s="75">
        <v>1.1000000000000001</v>
      </c>
      <c r="W30" s="75">
        <v>1.0900000000000001</v>
      </c>
      <c r="X30" s="75">
        <v>1.1499999999999999</v>
      </c>
      <c r="Y30" s="75">
        <v>1.1200000000000001</v>
      </c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342">
        <f t="shared" si="8"/>
        <v>1.1160000000000001</v>
      </c>
      <c r="AN30" s="89">
        <v>3.67</v>
      </c>
      <c r="AO30"/>
      <c r="AP30" s="76"/>
      <c r="AQ30" s="74">
        <f>AN30-(AN30-Q30)*(SIN((S30+AX30)*PI()/180))/(COS(AX30*PI()/180))</f>
        <v>1.23</v>
      </c>
      <c r="AR30" s="82">
        <f>H30+($M$1-M30)-(AN30-Q30)*(COS(S30*PI()/180))*(SIN((T30+13+2.3)*PI()/180))</f>
        <v>633235.34900000005</v>
      </c>
      <c r="AS30" s="82">
        <f>I30+($N$1-N30)-(AN30-Q30)*(COS(S30*PI()/180))*(COS((T30+13+2.3)*PI()/180))</f>
        <v>3046916.3569999998</v>
      </c>
      <c r="AT30" s="82">
        <f>J30+($O$1-O30)-R30+AN30-(AN30-Q30)*(SIN(S30*PI()/180))-L30</f>
        <v>261.63400000000001</v>
      </c>
      <c r="AU30" s="69"/>
      <c r="AV30" s="92"/>
      <c r="AX30" s="79"/>
    </row>
    <row r="31" spans="1:50" x14ac:dyDescent="0.6">
      <c r="A31" s="69" t="s">
        <v>123</v>
      </c>
      <c r="B31" s="84" t="s">
        <v>277</v>
      </c>
      <c r="C31" s="84" t="s">
        <v>290</v>
      </c>
      <c r="D31" s="69" t="s">
        <v>261</v>
      </c>
      <c r="E31" s="85"/>
      <c r="G31" s="86" t="s">
        <v>280</v>
      </c>
      <c r="H31" s="75">
        <v>632875.33499999996</v>
      </c>
      <c r="I31" s="75">
        <v>3045648.2039999999</v>
      </c>
      <c r="J31" s="75">
        <v>183.94499999999999</v>
      </c>
      <c r="K31" s="304" t="s">
        <v>279</v>
      </c>
      <c r="L31" s="82">
        <v>1.96</v>
      </c>
      <c r="M31" s="269">
        <v>633905.23300000001</v>
      </c>
      <c r="N31" s="269">
        <v>3049240.4479999999</v>
      </c>
      <c r="O31" s="269">
        <v>56.39</v>
      </c>
      <c r="P31" s="87" t="s">
        <v>342</v>
      </c>
      <c r="Q31" s="73">
        <v>0.84</v>
      </c>
      <c r="R31" s="74">
        <v>2.8</v>
      </c>
      <c r="S31" s="88">
        <v>90</v>
      </c>
      <c r="T31" s="79"/>
      <c r="U31" s="75">
        <v>0.88</v>
      </c>
      <c r="V31" s="75">
        <v>0.9</v>
      </c>
      <c r="W31" s="75">
        <v>0.9</v>
      </c>
      <c r="X31" s="75">
        <v>0.92</v>
      </c>
      <c r="Y31" s="75">
        <v>0.95</v>
      </c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342">
        <f t="shared" si="8"/>
        <v>0.90999999999999992</v>
      </c>
      <c r="AN31" s="89">
        <v>3.67</v>
      </c>
      <c r="AO31"/>
      <c r="AP31" s="76"/>
      <c r="AQ31" s="74">
        <f>AN31-(AN31-Q31)*(SIN((S31+AX31)*PI()/180))/(COS(AX31*PI()/180))</f>
        <v>0.83999999999999986</v>
      </c>
      <c r="AR31" s="82">
        <f>H31+($M$1-M31)-(AN31-Q31)*(COS(S31*PI()/180))*(SIN((T31+13+2.3)*PI()/180))</f>
        <v>632875.33499999996</v>
      </c>
      <c r="AS31" s="82">
        <f>I31+($N$1-N31)-(AN31-Q31)*(COS(S31*PI()/180))*(COS((T31+13+2.3)*PI()/180))</f>
        <v>3045648.2039999999</v>
      </c>
      <c r="AT31" s="82">
        <f>J31+($O$1-O31)-R31+AN31-(AN31-Q31)*(SIN(S31*PI()/180))-L31</f>
        <v>179.91499999999994</v>
      </c>
      <c r="AU31" s="69"/>
      <c r="AV31" s="92"/>
      <c r="AX31" s="79"/>
    </row>
    <row r="32" spans="1:50" x14ac:dyDescent="0.6">
      <c r="A32" s="105" t="s">
        <v>124</v>
      </c>
      <c r="B32" s="105"/>
      <c r="C32" s="105"/>
      <c r="D32" s="105"/>
      <c r="E32" s="106"/>
      <c r="F32" s="107"/>
      <c r="G32" s="108"/>
      <c r="H32" s="101"/>
      <c r="I32" s="101"/>
      <c r="J32" s="101"/>
      <c r="K32" s="268"/>
      <c r="L32" s="111"/>
      <c r="M32" s="112"/>
      <c r="N32" s="112"/>
      <c r="O32" s="112"/>
      <c r="P32" s="113"/>
      <c r="Q32" s="114"/>
      <c r="R32" s="109"/>
      <c r="S32" s="115"/>
      <c r="T32" s="115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6"/>
      <c r="AO32" s="117"/>
      <c r="AP32" s="118"/>
      <c r="AQ32" s="109"/>
      <c r="AR32" s="111"/>
      <c r="AS32" s="111"/>
      <c r="AT32" s="111"/>
      <c r="AU32" s="105"/>
      <c r="AV32" s="119"/>
      <c r="AX32" s="115"/>
    </row>
    <row r="33" spans="1:50" x14ac:dyDescent="0.6">
      <c r="A33" s="105" t="s">
        <v>125</v>
      </c>
      <c r="B33" s="105"/>
      <c r="C33" s="105"/>
      <c r="D33" s="105"/>
      <c r="E33" s="106"/>
      <c r="F33" s="107"/>
      <c r="G33" s="108"/>
      <c r="H33" s="101"/>
      <c r="I33" s="101"/>
      <c r="J33" s="101"/>
      <c r="K33" s="268"/>
      <c r="L33" s="111"/>
      <c r="M33" s="112"/>
      <c r="N33" s="112"/>
      <c r="O33" s="112"/>
      <c r="P33" s="113"/>
      <c r="Q33" s="114"/>
      <c r="R33" s="109"/>
      <c r="S33" s="115"/>
      <c r="T33" s="115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6"/>
      <c r="AO33" s="117"/>
      <c r="AP33" s="118"/>
      <c r="AQ33" s="109"/>
      <c r="AR33" s="111"/>
      <c r="AS33" s="111"/>
      <c r="AT33" s="111"/>
      <c r="AU33" s="105"/>
      <c r="AV33" s="119"/>
      <c r="AX33" s="115"/>
    </row>
    <row r="34" spans="1:50" x14ac:dyDescent="0.6">
      <c r="A34" s="69" t="s">
        <v>126</v>
      </c>
      <c r="B34" s="84" t="s">
        <v>329</v>
      </c>
      <c r="C34" s="84" t="s">
        <v>332</v>
      </c>
      <c r="D34" s="69" t="s">
        <v>261</v>
      </c>
      <c r="E34" s="85"/>
      <c r="G34" s="305" t="s">
        <v>331</v>
      </c>
      <c r="H34" s="75">
        <v>634270.10499999998</v>
      </c>
      <c r="I34" s="75">
        <v>3046667.6949999998</v>
      </c>
      <c r="J34" s="75">
        <v>319.387</v>
      </c>
      <c r="K34" s="304" t="s">
        <v>279</v>
      </c>
      <c r="L34" s="82">
        <v>1.96</v>
      </c>
      <c r="M34" s="269">
        <v>633905.23300000001</v>
      </c>
      <c r="N34" s="269">
        <v>3049240.4479999999</v>
      </c>
      <c r="O34" s="269">
        <v>56.39</v>
      </c>
      <c r="P34" s="87" t="s">
        <v>342</v>
      </c>
      <c r="Q34" s="73">
        <v>-0.21</v>
      </c>
      <c r="R34" s="74">
        <v>1.75</v>
      </c>
      <c r="S34" s="88">
        <v>90</v>
      </c>
      <c r="T34" s="79"/>
      <c r="U34" s="75">
        <v>2.09</v>
      </c>
      <c r="V34" s="75">
        <v>2.02</v>
      </c>
      <c r="W34" s="75">
        <v>1.99</v>
      </c>
      <c r="X34" s="75">
        <v>2.14</v>
      </c>
      <c r="Y34" s="75">
        <v>2.2000000000000002</v>
      </c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342">
        <f t="shared" ref="AM34" si="9">AVERAGE(U34:AC34)</f>
        <v>2.0880000000000001</v>
      </c>
      <c r="AN34" s="89">
        <v>3.67</v>
      </c>
      <c r="AO34"/>
      <c r="AP34" s="76"/>
      <c r="AQ34" s="74">
        <f>AN34-(AN34-Q34)*(SIN((S34+AX34)*PI()/180))/(COS(AX34*PI()/180))</f>
        <v>-0.20999999999999996</v>
      </c>
      <c r="AR34" s="82">
        <f>H34+($M$1-M34)-(AN34-Q34)*(COS(S34*PI()/180))*(SIN((T34+13+2.3)*PI()/180))</f>
        <v>634270.10499999998</v>
      </c>
      <c r="AS34" s="82">
        <f>I34+($N$1-N34)-(AN34-Q34)*(COS(S34*PI()/180))*(COS((T34+13+2.3)*PI()/180))</f>
        <v>3046667.6949999998</v>
      </c>
      <c r="AT34" s="82">
        <f>J34+($O$1-O34)-R34+AN34-(AN34-Q34)*(SIN(S34*PI()/180))-L34</f>
        <v>315.35700000000003</v>
      </c>
      <c r="AU34" s="69"/>
      <c r="AV34" s="92"/>
      <c r="AX34" s="79"/>
    </row>
    <row r="35" spans="1:50" x14ac:dyDescent="0.6">
      <c r="A35" s="105" t="s">
        <v>127</v>
      </c>
      <c r="B35" s="105"/>
      <c r="C35" s="105"/>
      <c r="D35" s="105"/>
      <c r="E35" s="105"/>
      <c r="F35" s="105"/>
      <c r="G35" s="105"/>
      <c r="H35" s="105"/>
      <c r="I35" s="105"/>
      <c r="J35" s="105"/>
      <c r="K35" s="268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84"/>
      <c r="AX35" s="105"/>
    </row>
    <row r="36" spans="1:50" x14ac:dyDescent="0.6">
      <c r="A36" s="105" t="s">
        <v>128</v>
      </c>
      <c r="B36" s="105"/>
      <c r="C36" s="105"/>
      <c r="D36" s="105"/>
      <c r="E36" s="106"/>
      <c r="F36" s="107"/>
      <c r="G36" s="108"/>
      <c r="H36" s="110"/>
      <c r="I36" s="110"/>
      <c r="J36" s="110"/>
      <c r="K36" s="268"/>
      <c r="L36" s="111"/>
      <c r="M36" s="112"/>
      <c r="N36" s="112"/>
      <c r="O36" s="112"/>
      <c r="P36" s="113"/>
      <c r="Q36" s="114"/>
      <c r="R36" s="109"/>
      <c r="S36" s="115"/>
      <c r="T36" s="115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6"/>
      <c r="AO36" s="117"/>
      <c r="AP36" s="118"/>
      <c r="AQ36" s="109"/>
      <c r="AR36" s="111"/>
      <c r="AS36" s="111"/>
      <c r="AT36" s="111"/>
      <c r="AU36" s="105"/>
      <c r="AV36" s="119"/>
      <c r="AX36" s="115"/>
    </row>
    <row r="37" spans="1:50" x14ac:dyDescent="0.6">
      <c r="A37" s="105" t="s">
        <v>129</v>
      </c>
      <c r="B37" s="105"/>
      <c r="C37" s="105"/>
      <c r="D37" s="105"/>
      <c r="E37" s="106"/>
      <c r="F37" s="107"/>
      <c r="G37" s="108"/>
      <c r="H37" s="110"/>
      <c r="I37" s="110"/>
      <c r="J37" s="110"/>
      <c r="K37" s="268"/>
      <c r="L37" s="111"/>
      <c r="M37" s="112"/>
      <c r="N37" s="112"/>
      <c r="O37" s="112"/>
      <c r="P37" s="113"/>
      <c r="Q37" s="114"/>
      <c r="R37" s="109"/>
      <c r="S37" s="115"/>
      <c r="T37" s="115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6"/>
      <c r="AO37" s="117"/>
      <c r="AP37" s="118"/>
      <c r="AQ37" s="109"/>
      <c r="AR37" s="111"/>
      <c r="AS37" s="111"/>
      <c r="AT37" s="111"/>
      <c r="AU37" s="105"/>
      <c r="AV37" s="119"/>
      <c r="AX37" s="115"/>
    </row>
    <row r="38" spans="1:50" x14ac:dyDescent="0.6">
      <c r="A38" s="105" t="s">
        <v>130</v>
      </c>
      <c r="B38" s="105"/>
      <c r="C38" s="105"/>
      <c r="D38" s="105"/>
      <c r="E38" s="106"/>
      <c r="F38" s="107"/>
      <c r="G38" s="108"/>
      <c r="H38" s="110"/>
      <c r="I38" s="110"/>
      <c r="J38" s="110"/>
      <c r="K38" s="268"/>
      <c r="L38" s="111"/>
      <c r="M38" s="112"/>
      <c r="N38" s="112"/>
      <c r="O38" s="112"/>
      <c r="P38" s="113"/>
      <c r="Q38" s="114"/>
      <c r="R38" s="109"/>
      <c r="S38" s="115"/>
      <c r="T38" s="115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6"/>
      <c r="AO38" s="117"/>
      <c r="AP38" s="118"/>
      <c r="AQ38" s="109"/>
      <c r="AR38" s="111"/>
      <c r="AS38" s="111"/>
      <c r="AT38" s="111"/>
      <c r="AU38" s="105"/>
      <c r="AV38" s="119"/>
      <c r="AX38" s="115"/>
    </row>
    <row r="39" spans="1:50" x14ac:dyDescent="0.6">
      <c r="A39" s="105" t="s">
        <v>131</v>
      </c>
      <c r="B39" s="105"/>
      <c r="C39" s="105"/>
      <c r="D39" s="105"/>
      <c r="E39" s="106"/>
      <c r="F39" s="107"/>
      <c r="G39" s="108"/>
      <c r="H39" s="109"/>
      <c r="I39" s="110"/>
      <c r="J39" s="110"/>
      <c r="K39" s="105"/>
      <c r="L39" s="111"/>
      <c r="M39" s="112"/>
      <c r="N39" s="112"/>
      <c r="O39" s="112"/>
      <c r="P39" s="113"/>
      <c r="Q39" s="114"/>
      <c r="R39" s="109"/>
      <c r="S39" s="115"/>
      <c r="T39" s="115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6"/>
      <c r="AO39" s="117"/>
      <c r="AP39" s="118"/>
      <c r="AQ39" s="109"/>
      <c r="AR39" s="111"/>
      <c r="AS39" s="111"/>
      <c r="AT39" s="111"/>
      <c r="AU39" s="105"/>
      <c r="AV39" s="119"/>
      <c r="AX39" s="115"/>
    </row>
    <row r="40" spans="1:50" x14ac:dyDescent="0.6">
      <c r="A40" s="69" t="s">
        <v>132</v>
      </c>
      <c r="B40" s="84" t="s">
        <v>322</v>
      </c>
      <c r="C40" s="84" t="s">
        <v>326</v>
      </c>
      <c r="D40" s="69" t="s">
        <v>261</v>
      </c>
      <c r="E40" s="85"/>
      <c r="G40" s="86" t="s">
        <v>323</v>
      </c>
      <c r="H40" s="74">
        <v>633315.32499999995</v>
      </c>
      <c r="I40" s="75">
        <v>3047974.45</v>
      </c>
      <c r="J40" s="75">
        <v>143.58199999999999</v>
      </c>
      <c r="K40" s="69" t="s">
        <v>279</v>
      </c>
      <c r="L40" s="82">
        <v>0.115</v>
      </c>
      <c r="M40" s="82">
        <v>633905.23300000001</v>
      </c>
      <c r="N40" s="82">
        <v>3049240.4479999999</v>
      </c>
      <c r="O40" s="82">
        <v>56.39</v>
      </c>
      <c r="P40" s="121" t="s">
        <v>347</v>
      </c>
      <c r="Q40" s="73">
        <v>1.02</v>
      </c>
      <c r="R40" s="74">
        <v>1.135</v>
      </c>
      <c r="S40" s="88">
        <v>90</v>
      </c>
      <c r="T40" s="79"/>
      <c r="U40" s="75">
        <v>1.42</v>
      </c>
      <c r="V40" s="75">
        <v>1.47</v>
      </c>
      <c r="W40" s="75">
        <v>1.45</v>
      </c>
      <c r="X40" s="75">
        <v>1.5</v>
      </c>
      <c r="Y40" s="75">
        <v>1.47</v>
      </c>
      <c r="Z40" s="75"/>
      <c r="AA40" s="75"/>
      <c r="AB40" s="75"/>
      <c r="AC40" s="75"/>
      <c r="AD40" s="75"/>
      <c r="AE40" s="75"/>
      <c r="AF40" s="75"/>
      <c r="AH40" s="75"/>
      <c r="AI40" s="75"/>
      <c r="AJ40" s="75"/>
      <c r="AK40" s="75"/>
      <c r="AL40" s="75"/>
      <c r="AM40" s="75">
        <f t="shared" ref="AM40" si="10">AVERAGE(U40:AC40)</f>
        <v>1.462</v>
      </c>
      <c r="AN40" s="89">
        <v>3.67</v>
      </c>
      <c r="AO40" s="90"/>
      <c r="AP40" s="76"/>
      <c r="AQ40" s="74">
        <f>AN40-(AN40-Q40)*(SIN((S40+AX40)*PI()/180))/(COS(AX40*PI()/180))</f>
        <v>1.02</v>
      </c>
      <c r="AR40" s="82">
        <f>H40+($M$1-M40)-(AN40-Q40)*(COS(S40*PI()/180))*(SIN((T40+13+2.3)*PI()/180))</f>
        <v>633315.32499999995</v>
      </c>
      <c r="AS40" s="82">
        <f>I40+($N$1-N40)-(AN40-Q40)*(COS(S40*PI()/180))*(COS((T40+13+2.3)*PI()/180))</f>
        <v>3047974.45</v>
      </c>
      <c r="AT40" s="82">
        <f>J40+($O$1-O40)-R40+AN40-(AN40-Q40)*(SIN(S40*PI()/180))-L40</f>
        <v>143.24199999999996</v>
      </c>
      <c r="AU40" s="69"/>
      <c r="AV40" s="92"/>
      <c r="AX40" s="79"/>
    </row>
    <row r="41" spans="1:50" x14ac:dyDescent="0.6">
      <c r="A41" s="105" t="s">
        <v>133</v>
      </c>
      <c r="B41" s="105"/>
      <c r="C41" s="105"/>
      <c r="D41" s="105"/>
      <c r="E41" s="106"/>
      <c r="F41" s="107"/>
      <c r="G41" s="108"/>
      <c r="H41" s="109"/>
      <c r="I41" s="110"/>
      <c r="J41" s="110"/>
      <c r="K41" s="105"/>
      <c r="L41" s="111"/>
      <c r="M41" s="112"/>
      <c r="N41" s="112"/>
      <c r="O41" s="112"/>
      <c r="P41" s="113"/>
      <c r="Q41" s="114"/>
      <c r="R41" s="109"/>
      <c r="S41" s="115"/>
      <c r="T41" s="115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6"/>
      <c r="AO41" s="117"/>
      <c r="AP41" s="118"/>
      <c r="AQ41" s="109"/>
      <c r="AR41" s="111"/>
      <c r="AS41" s="111"/>
      <c r="AT41" s="111"/>
      <c r="AU41" s="105"/>
      <c r="AV41" s="119"/>
      <c r="AX41" s="115"/>
    </row>
    <row r="42" spans="1:50" x14ac:dyDescent="0.6">
      <c r="A42" s="105" t="s">
        <v>134</v>
      </c>
      <c r="B42" s="105"/>
      <c r="C42" s="105"/>
      <c r="D42" s="105"/>
      <c r="E42" s="106"/>
      <c r="F42" s="107"/>
      <c r="G42" s="108"/>
      <c r="H42" s="109"/>
      <c r="I42" s="110"/>
      <c r="J42" s="110"/>
      <c r="K42" s="105"/>
      <c r="L42" s="111"/>
      <c r="M42" s="112"/>
      <c r="N42" s="112"/>
      <c r="O42" s="112"/>
      <c r="P42" s="113"/>
      <c r="Q42" s="114"/>
      <c r="R42" s="109"/>
      <c r="S42" s="115"/>
      <c r="T42" s="115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6"/>
      <c r="AO42" s="117"/>
      <c r="AP42" s="118"/>
      <c r="AQ42" s="109"/>
      <c r="AR42" s="111"/>
      <c r="AS42" s="111"/>
      <c r="AT42" s="111"/>
      <c r="AU42" s="105"/>
      <c r="AV42" s="119"/>
      <c r="AX42" s="115"/>
    </row>
    <row r="43" spans="1:50" x14ac:dyDescent="0.6">
      <c r="A43" s="105" t="s">
        <v>135</v>
      </c>
      <c r="B43" s="105"/>
      <c r="C43" s="105"/>
      <c r="D43" s="105"/>
      <c r="E43" s="106"/>
      <c r="F43" s="107"/>
      <c r="G43" s="108"/>
      <c r="H43" s="109"/>
      <c r="I43" s="110"/>
      <c r="J43" s="110"/>
      <c r="K43" s="105"/>
      <c r="L43" s="111"/>
      <c r="M43" s="112"/>
      <c r="N43" s="112"/>
      <c r="O43" s="112"/>
      <c r="P43" s="113"/>
      <c r="Q43" s="114"/>
      <c r="R43" s="109"/>
      <c r="S43" s="115"/>
      <c r="T43" s="115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6"/>
      <c r="AO43" s="117"/>
      <c r="AP43" s="118"/>
      <c r="AQ43" s="109"/>
      <c r="AR43" s="111"/>
      <c r="AS43" s="111"/>
      <c r="AT43" s="111"/>
      <c r="AU43" s="105"/>
      <c r="AV43" s="119"/>
      <c r="AX43" s="115"/>
    </row>
    <row r="44" spans="1:50" x14ac:dyDescent="0.6">
      <c r="A44" s="105" t="s">
        <v>136</v>
      </c>
      <c r="B44" s="105"/>
      <c r="C44" s="105"/>
      <c r="D44" s="105"/>
      <c r="E44" s="106"/>
      <c r="F44" s="107"/>
      <c r="G44" s="108"/>
      <c r="H44" s="109"/>
      <c r="I44" s="110"/>
      <c r="J44" s="110"/>
      <c r="K44" s="105"/>
      <c r="L44" s="111"/>
      <c r="M44" s="112"/>
      <c r="N44" s="112"/>
      <c r="O44" s="112"/>
      <c r="P44" s="113"/>
      <c r="Q44" s="114"/>
      <c r="R44" s="109"/>
      <c r="S44" s="115"/>
      <c r="T44" s="115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6"/>
      <c r="AO44" s="117"/>
      <c r="AP44" s="118"/>
      <c r="AQ44" s="109"/>
      <c r="AR44" s="111"/>
      <c r="AS44" s="111"/>
      <c r="AT44" s="111"/>
      <c r="AU44" s="105"/>
      <c r="AV44" s="119"/>
      <c r="AX44" s="115"/>
    </row>
    <row r="45" spans="1:50" x14ac:dyDescent="0.6">
      <c r="A45" s="105" t="s">
        <v>137</v>
      </c>
      <c r="B45" s="105"/>
      <c r="C45" s="105"/>
      <c r="D45" s="105"/>
      <c r="E45" s="106"/>
      <c r="F45" s="107"/>
      <c r="G45" s="108"/>
      <c r="H45" s="109"/>
      <c r="I45" s="110"/>
      <c r="J45" s="110"/>
      <c r="K45" s="105"/>
      <c r="L45" s="111"/>
      <c r="M45" s="112"/>
      <c r="N45" s="112"/>
      <c r="O45" s="112"/>
      <c r="P45" s="113"/>
      <c r="Q45" s="114"/>
      <c r="R45" s="109"/>
      <c r="S45" s="115"/>
      <c r="T45" s="115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22"/>
      <c r="AO45" s="117"/>
      <c r="AP45" s="118"/>
      <c r="AQ45" s="109"/>
      <c r="AR45" s="111"/>
      <c r="AS45" s="111"/>
      <c r="AT45" s="111"/>
      <c r="AU45" s="105"/>
      <c r="AV45" s="119"/>
      <c r="AX45" s="115"/>
    </row>
    <row r="46" spans="1:50" x14ac:dyDescent="0.6">
      <c r="A46" s="105" t="s">
        <v>138</v>
      </c>
      <c r="B46" s="105"/>
      <c r="C46" s="105"/>
      <c r="D46" s="105"/>
      <c r="E46" s="106"/>
      <c r="F46" s="107"/>
      <c r="G46" s="108"/>
      <c r="H46" s="109"/>
      <c r="I46" s="110"/>
      <c r="J46" s="110"/>
      <c r="K46" s="105"/>
      <c r="L46" s="111"/>
      <c r="M46" s="112"/>
      <c r="N46" s="112"/>
      <c r="O46" s="112"/>
      <c r="P46" s="113"/>
      <c r="Q46" s="114"/>
      <c r="R46" s="109"/>
      <c r="S46" s="115"/>
      <c r="T46" s="115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22"/>
      <c r="AO46" s="117"/>
      <c r="AP46" s="118"/>
      <c r="AQ46" s="109"/>
      <c r="AR46" s="111"/>
      <c r="AS46" s="111"/>
      <c r="AT46" s="111"/>
      <c r="AU46" s="105"/>
      <c r="AV46" s="119"/>
      <c r="AX46" s="115"/>
    </row>
    <row r="47" spans="1:50" x14ac:dyDescent="0.6">
      <c r="A47" s="105" t="s">
        <v>139</v>
      </c>
      <c r="B47" s="105"/>
      <c r="C47" s="105"/>
      <c r="D47" s="105"/>
      <c r="E47" s="106"/>
      <c r="F47" s="107"/>
      <c r="G47" s="108"/>
      <c r="H47" s="109"/>
      <c r="I47" s="110"/>
      <c r="J47" s="110"/>
      <c r="K47" s="105"/>
      <c r="L47" s="111"/>
      <c r="M47" s="112"/>
      <c r="N47" s="112"/>
      <c r="O47" s="112"/>
      <c r="P47" s="113"/>
      <c r="Q47" s="114"/>
      <c r="R47" s="109"/>
      <c r="S47" s="115"/>
      <c r="T47" s="115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22"/>
      <c r="AO47" s="117"/>
      <c r="AP47" s="118"/>
      <c r="AQ47" s="109"/>
      <c r="AR47" s="111"/>
      <c r="AS47" s="111"/>
      <c r="AT47" s="111"/>
      <c r="AU47" s="105"/>
      <c r="AV47" s="119"/>
      <c r="AX47" s="115"/>
    </row>
    <row r="48" spans="1:50" x14ac:dyDescent="0.6">
      <c r="A48" s="105" t="s">
        <v>140</v>
      </c>
      <c r="B48" s="105"/>
      <c r="C48" s="105"/>
      <c r="D48" s="105"/>
      <c r="E48" s="106"/>
      <c r="F48" s="107"/>
      <c r="G48" s="108"/>
      <c r="H48" s="109"/>
      <c r="I48" s="110"/>
      <c r="J48" s="110"/>
      <c r="K48" s="105"/>
      <c r="L48" s="111"/>
      <c r="M48" s="112"/>
      <c r="N48" s="112"/>
      <c r="O48" s="112"/>
      <c r="P48" s="113"/>
      <c r="Q48" s="114"/>
      <c r="R48" s="109"/>
      <c r="S48" s="115"/>
      <c r="T48" s="115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22"/>
      <c r="AO48" s="117"/>
      <c r="AP48" s="118"/>
      <c r="AQ48" s="109"/>
      <c r="AR48" s="111"/>
      <c r="AS48" s="111"/>
      <c r="AT48" s="111"/>
      <c r="AU48" s="105"/>
      <c r="AV48" s="119"/>
      <c r="AX48" s="115"/>
    </row>
    <row r="49" spans="1:50" x14ac:dyDescent="0.6">
      <c r="A49" s="105" t="s">
        <v>141</v>
      </c>
      <c r="B49" s="105"/>
      <c r="C49" s="105"/>
      <c r="D49" s="105"/>
      <c r="E49" s="106"/>
      <c r="F49" s="107"/>
      <c r="G49" s="108"/>
      <c r="H49" s="109"/>
      <c r="I49" s="110"/>
      <c r="J49" s="110"/>
      <c r="K49" s="105"/>
      <c r="L49" s="111"/>
      <c r="M49" s="112"/>
      <c r="N49" s="112"/>
      <c r="O49" s="112"/>
      <c r="P49" s="113"/>
      <c r="Q49" s="114"/>
      <c r="R49" s="109"/>
      <c r="S49" s="115"/>
      <c r="T49" s="115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22"/>
      <c r="AO49" s="117"/>
      <c r="AP49" s="118"/>
      <c r="AQ49" s="109"/>
      <c r="AR49" s="111"/>
      <c r="AS49" s="111"/>
      <c r="AT49" s="111"/>
      <c r="AU49" s="105"/>
      <c r="AV49" s="119"/>
      <c r="AX49" s="115"/>
    </row>
    <row r="50" spans="1:50" x14ac:dyDescent="0.6">
      <c r="A50" s="105" t="s">
        <v>142</v>
      </c>
      <c r="B50" s="105"/>
      <c r="C50" s="105"/>
      <c r="D50" s="105"/>
      <c r="E50" s="106"/>
      <c r="F50" s="107"/>
      <c r="G50" s="108"/>
      <c r="H50" s="109"/>
      <c r="I50" s="110"/>
      <c r="J50" s="110"/>
      <c r="K50" s="105"/>
      <c r="L50" s="111"/>
      <c r="M50" s="112"/>
      <c r="N50" s="112"/>
      <c r="O50" s="112"/>
      <c r="P50" s="113"/>
      <c r="Q50" s="114"/>
      <c r="R50" s="109"/>
      <c r="S50" s="115"/>
      <c r="T50" s="115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22"/>
      <c r="AO50" s="117"/>
      <c r="AP50" s="118"/>
      <c r="AQ50" s="109"/>
      <c r="AR50" s="111"/>
      <c r="AS50" s="111"/>
      <c r="AT50" s="111"/>
      <c r="AU50" s="105"/>
      <c r="AV50" s="119"/>
      <c r="AX50" s="115"/>
    </row>
    <row r="51" spans="1:50" x14ac:dyDescent="0.6">
      <c r="A51" s="105" t="s">
        <v>143</v>
      </c>
      <c r="B51" s="105"/>
      <c r="C51" s="105"/>
      <c r="D51" s="105"/>
      <c r="E51" s="106"/>
      <c r="F51" s="107"/>
      <c r="G51" s="108"/>
      <c r="H51" s="109"/>
      <c r="I51" s="110"/>
      <c r="J51" s="110"/>
      <c r="K51" s="105"/>
      <c r="L51" s="111"/>
      <c r="M51" s="112"/>
      <c r="N51" s="112"/>
      <c r="O51" s="112"/>
      <c r="P51" s="113"/>
      <c r="Q51" s="114"/>
      <c r="R51" s="109"/>
      <c r="S51" s="115"/>
      <c r="T51" s="115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22"/>
      <c r="AO51" s="117"/>
      <c r="AP51" s="118"/>
      <c r="AQ51" s="109"/>
      <c r="AR51" s="111"/>
      <c r="AS51" s="111"/>
      <c r="AT51" s="111"/>
      <c r="AU51" s="105"/>
      <c r="AV51" s="119"/>
      <c r="AX51" s="115"/>
    </row>
    <row r="52" spans="1:50" x14ac:dyDescent="0.6">
      <c r="A52" s="105" t="s">
        <v>144</v>
      </c>
      <c r="B52" s="105"/>
      <c r="C52" s="105"/>
      <c r="D52" s="105"/>
      <c r="E52" s="106"/>
      <c r="F52" s="107"/>
      <c r="G52" s="108"/>
      <c r="H52" s="109"/>
      <c r="I52" s="110"/>
      <c r="J52" s="110"/>
      <c r="K52" s="105"/>
      <c r="L52" s="111"/>
      <c r="M52" s="112"/>
      <c r="N52" s="112"/>
      <c r="O52" s="112"/>
      <c r="P52" s="113"/>
      <c r="Q52" s="114"/>
      <c r="R52" s="109"/>
      <c r="S52" s="115"/>
      <c r="T52" s="115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22"/>
      <c r="AO52" s="117"/>
      <c r="AP52" s="118"/>
      <c r="AQ52" s="109"/>
      <c r="AR52" s="111"/>
      <c r="AS52" s="111"/>
      <c r="AT52" s="111"/>
      <c r="AU52" s="105"/>
      <c r="AV52" s="119"/>
      <c r="AX52" s="115"/>
    </row>
    <row r="53" spans="1:50" x14ac:dyDescent="0.6">
      <c r="A53" s="105" t="s">
        <v>145</v>
      </c>
      <c r="B53" s="105"/>
      <c r="C53" s="105"/>
      <c r="D53" s="105"/>
      <c r="E53" s="106"/>
      <c r="F53" s="107"/>
      <c r="G53" s="108"/>
      <c r="H53" s="109"/>
      <c r="I53" s="110"/>
      <c r="J53" s="110"/>
      <c r="K53" s="105"/>
      <c r="L53" s="111"/>
      <c r="M53" s="112"/>
      <c r="N53" s="112"/>
      <c r="O53" s="112"/>
      <c r="P53" s="113"/>
      <c r="Q53" s="114"/>
      <c r="R53" s="109"/>
      <c r="S53" s="115"/>
      <c r="T53" s="115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22"/>
      <c r="AO53" s="117"/>
      <c r="AP53" s="118"/>
      <c r="AQ53" s="109"/>
      <c r="AR53" s="111"/>
      <c r="AS53" s="111"/>
      <c r="AT53" s="111"/>
      <c r="AU53" s="105"/>
      <c r="AV53" s="119"/>
      <c r="AX53" s="115"/>
    </row>
    <row r="54" spans="1:50" x14ac:dyDescent="0.6">
      <c r="A54" s="105" t="s">
        <v>146</v>
      </c>
      <c r="B54" s="105"/>
      <c r="C54" s="105"/>
      <c r="D54" s="105"/>
      <c r="E54" s="106"/>
      <c r="F54" s="107"/>
      <c r="G54" s="108"/>
      <c r="H54" s="109"/>
      <c r="I54" s="110"/>
      <c r="J54" s="110"/>
      <c r="K54" s="105"/>
      <c r="L54" s="111"/>
      <c r="M54" s="112"/>
      <c r="N54" s="112"/>
      <c r="O54" s="112"/>
      <c r="P54" s="113"/>
      <c r="Q54" s="114"/>
      <c r="R54" s="109"/>
      <c r="S54" s="115"/>
      <c r="T54" s="115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22"/>
      <c r="AO54" s="117"/>
      <c r="AP54" s="118"/>
      <c r="AQ54" s="109"/>
      <c r="AR54" s="111"/>
      <c r="AS54" s="111"/>
      <c r="AT54" s="111"/>
      <c r="AU54" s="105"/>
      <c r="AV54" s="119"/>
      <c r="AX54" s="115"/>
    </row>
    <row r="55" spans="1:50" x14ac:dyDescent="0.6">
      <c r="A55" s="69" t="s">
        <v>147</v>
      </c>
      <c r="B55" s="84" t="s">
        <v>322</v>
      </c>
      <c r="C55" s="84" t="s">
        <v>325</v>
      </c>
      <c r="D55" s="69" t="s">
        <v>261</v>
      </c>
      <c r="E55" s="85"/>
      <c r="G55" s="86" t="s">
        <v>323</v>
      </c>
      <c r="H55" s="74">
        <v>633132.875</v>
      </c>
      <c r="I55" s="75">
        <v>3048031.2960000001</v>
      </c>
      <c r="J55" s="75">
        <v>100.03</v>
      </c>
      <c r="K55" s="69" t="s">
        <v>279</v>
      </c>
      <c r="L55" s="82">
        <v>1.96</v>
      </c>
      <c r="M55" s="82">
        <v>633905.23300000001</v>
      </c>
      <c r="N55" s="82">
        <v>3049240.4479999999</v>
      </c>
      <c r="O55" s="82">
        <v>56.39</v>
      </c>
      <c r="P55" s="121" t="s">
        <v>342</v>
      </c>
      <c r="Q55" s="73">
        <v>0.41</v>
      </c>
      <c r="R55" s="74">
        <v>2.37</v>
      </c>
      <c r="S55" s="88">
        <v>90</v>
      </c>
      <c r="T55" s="79"/>
      <c r="U55" s="75">
        <v>0.25</v>
      </c>
      <c r="V55" s="75">
        <v>0.3</v>
      </c>
      <c r="W55" s="75">
        <v>0.25</v>
      </c>
      <c r="X55" s="75">
        <v>0.28000000000000003</v>
      </c>
      <c r="Y55" s="75">
        <v>0.17</v>
      </c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>
        <f>AVERAGE(U55:AC55)</f>
        <v>0.25</v>
      </c>
      <c r="AN55" s="89">
        <v>3.67</v>
      </c>
      <c r="AO55" s="90"/>
      <c r="AP55" s="76"/>
      <c r="AQ55" s="74">
        <f t="shared" ref="AQ55:AQ68" si="11">AN55-(AN55-Q55)*(SIN((S55+AX55)*PI()/180))/(COS(AX55*PI()/180))</f>
        <v>0.41000000000000014</v>
      </c>
      <c r="AR55" s="82">
        <f t="shared" ref="AR55:AR68" si="12">H55+($M$1-M55)-(AN55-Q55)*(COS(S55*PI()/180))*(SIN((T55+13+2.3)*PI()/180))</f>
        <v>633132.875</v>
      </c>
      <c r="AS55" s="82">
        <f t="shared" ref="AS55:AS68" si="13">I55+($N$1-N55)-(AN55-Q55)*(COS(S55*PI()/180))*(COS((T55+13+2.3)*PI()/180))</f>
        <v>3048031.2960000001</v>
      </c>
      <c r="AT55" s="82">
        <f t="shared" ref="AT55:AT68" si="14">J55+($O$1-O55)-R55+AN55-(AN55-Q55)*(SIN(S55*PI()/180))-L55</f>
        <v>96</v>
      </c>
      <c r="AU55" s="69"/>
      <c r="AV55" s="92"/>
      <c r="AX55" s="79"/>
    </row>
    <row r="56" spans="1:50" x14ac:dyDescent="0.6">
      <c r="A56" s="105" t="s">
        <v>148</v>
      </c>
      <c r="B56" s="105"/>
      <c r="C56" s="105"/>
      <c r="D56" s="105"/>
      <c r="E56" s="106"/>
      <c r="F56" s="107"/>
      <c r="G56" s="108"/>
      <c r="H56" s="109"/>
      <c r="I56" s="110"/>
      <c r="J56" s="110"/>
      <c r="K56" s="105"/>
      <c r="L56" s="111"/>
      <c r="M56" s="112"/>
      <c r="N56" s="112"/>
      <c r="O56" s="112"/>
      <c r="P56" s="113"/>
      <c r="Q56" s="114"/>
      <c r="R56" s="109"/>
      <c r="S56" s="115"/>
      <c r="T56" s="115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22"/>
      <c r="AO56" s="117"/>
      <c r="AP56" s="118"/>
      <c r="AQ56" s="109"/>
      <c r="AR56" s="111"/>
      <c r="AS56" s="111"/>
      <c r="AT56" s="111"/>
      <c r="AU56" s="105"/>
      <c r="AV56" s="119"/>
      <c r="AX56" s="115"/>
    </row>
    <row r="57" spans="1:50" x14ac:dyDescent="0.6">
      <c r="A57" s="84" t="s">
        <v>149</v>
      </c>
      <c r="B57" s="84" t="s">
        <v>322</v>
      </c>
      <c r="C57" s="84" t="s">
        <v>324</v>
      </c>
      <c r="D57" s="69" t="s">
        <v>261</v>
      </c>
      <c r="E57" s="85"/>
      <c r="G57" s="86" t="s">
        <v>323</v>
      </c>
      <c r="H57" s="74">
        <v>633216.35100000002</v>
      </c>
      <c r="I57" s="75">
        <v>3047840.8769999999</v>
      </c>
      <c r="J57" s="75">
        <v>141.07499999999999</v>
      </c>
      <c r="K57" s="69" t="s">
        <v>279</v>
      </c>
      <c r="L57" s="82">
        <v>1.96</v>
      </c>
      <c r="M57" s="82">
        <v>633905.23300000001</v>
      </c>
      <c r="N57" s="82">
        <v>3049240.4479999999</v>
      </c>
      <c r="O57" s="82">
        <v>56.39</v>
      </c>
      <c r="P57" s="121" t="s">
        <v>342</v>
      </c>
      <c r="Q57" s="73">
        <v>0.5</v>
      </c>
      <c r="R57" s="74">
        <v>2.46</v>
      </c>
      <c r="S57" s="88">
        <v>90</v>
      </c>
      <c r="T57" s="79"/>
      <c r="U57" s="75">
        <v>0.63</v>
      </c>
      <c r="V57" s="75">
        <v>0.65</v>
      </c>
      <c r="W57" s="75">
        <v>0.62</v>
      </c>
      <c r="X57" s="75">
        <v>0.57999999999999996</v>
      </c>
      <c r="Y57" s="75">
        <v>0.56000000000000005</v>
      </c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f t="shared" ref="AM57:AM74" si="15">AVERAGE(U57:AC57)</f>
        <v>0.60799999999999998</v>
      </c>
      <c r="AN57" s="89">
        <v>3.67</v>
      </c>
      <c r="AO57" s="90"/>
      <c r="AP57" s="76"/>
      <c r="AQ57" s="74">
        <f t="shared" si="11"/>
        <v>0.5</v>
      </c>
      <c r="AR57" s="82">
        <f t="shared" si="12"/>
        <v>633216.35100000002</v>
      </c>
      <c r="AS57" s="82">
        <f t="shared" si="13"/>
        <v>3047840.8769999999</v>
      </c>
      <c r="AT57" s="82">
        <f t="shared" si="14"/>
        <v>137.04499999999996</v>
      </c>
      <c r="AU57" s="69"/>
      <c r="AV57" s="92"/>
      <c r="AX57" s="79"/>
    </row>
    <row r="58" spans="1:50" x14ac:dyDescent="0.6">
      <c r="A58" s="84" t="s">
        <v>150</v>
      </c>
      <c r="B58" s="84" t="s">
        <v>319</v>
      </c>
      <c r="C58" s="84" t="s">
        <v>320</v>
      </c>
      <c r="D58" s="69" t="s">
        <v>261</v>
      </c>
      <c r="E58" s="85"/>
      <c r="G58" s="86" t="s">
        <v>321</v>
      </c>
      <c r="H58" s="74">
        <v>632963.88899999997</v>
      </c>
      <c r="I58" s="75">
        <v>3047128.8250000002</v>
      </c>
      <c r="J58" s="75">
        <v>169.15100000000001</v>
      </c>
      <c r="K58" s="69" t="s">
        <v>279</v>
      </c>
      <c r="L58" s="82">
        <v>1.96</v>
      </c>
      <c r="M58" s="82">
        <v>633905.23300000001</v>
      </c>
      <c r="N58" s="82">
        <v>3049240.4479999999</v>
      </c>
      <c r="O58" s="82">
        <v>56.39</v>
      </c>
      <c r="P58" s="121" t="s">
        <v>342</v>
      </c>
      <c r="Q58" s="73">
        <v>0.53</v>
      </c>
      <c r="R58" s="74">
        <v>2.4900000000000002</v>
      </c>
      <c r="S58" s="88">
        <v>66.5</v>
      </c>
      <c r="T58" s="79">
        <v>255.23</v>
      </c>
      <c r="U58" s="75">
        <v>1.8</v>
      </c>
      <c r="V58" s="75">
        <v>1.84</v>
      </c>
      <c r="W58" s="75">
        <v>1.83</v>
      </c>
      <c r="X58" s="75">
        <v>1.8</v>
      </c>
      <c r="Y58" s="75">
        <v>1.82</v>
      </c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>
        <f t="shared" si="15"/>
        <v>1.8180000000000001</v>
      </c>
      <c r="AN58" s="89">
        <v>3.67</v>
      </c>
      <c r="AO58" s="90"/>
      <c r="AP58" s="76"/>
      <c r="AQ58" s="74">
        <f t="shared" si="11"/>
        <v>0.79043136643071055</v>
      </c>
      <c r="AR58" s="82">
        <f t="shared" si="12"/>
        <v>632965.1410185087</v>
      </c>
      <c r="AS58" s="82">
        <f t="shared" si="13"/>
        <v>3047128.8134181919</v>
      </c>
      <c r="AT58" s="82">
        <f t="shared" si="14"/>
        <v>165.38143136643069</v>
      </c>
      <c r="AU58" s="69"/>
      <c r="AV58" s="92"/>
      <c r="AX58" s="79"/>
    </row>
    <row r="59" spans="1:50" x14ac:dyDescent="0.6">
      <c r="A59" s="84" t="s">
        <v>151</v>
      </c>
      <c r="B59" s="84" t="s">
        <v>319</v>
      </c>
      <c r="C59" s="84" t="s">
        <v>320</v>
      </c>
      <c r="D59" s="69" t="s">
        <v>261</v>
      </c>
      <c r="E59" s="85"/>
      <c r="G59" s="86" t="s">
        <v>321</v>
      </c>
      <c r="H59" s="74">
        <v>632849.88500000001</v>
      </c>
      <c r="I59" s="75">
        <v>3047015.173</v>
      </c>
      <c r="J59" s="75">
        <v>146.636</v>
      </c>
      <c r="K59" s="69" t="s">
        <v>279</v>
      </c>
      <c r="L59" s="82">
        <v>1.96</v>
      </c>
      <c r="M59" s="82">
        <v>633905.23300000001</v>
      </c>
      <c r="N59" s="82">
        <v>3049240.4479999999</v>
      </c>
      <c r="O59" s="82">
        <v>56.39</v>
      </c>
      <c r="P59" s="121" t="s">
        <v>342</v>
      </c>
      <c r="Q59" s="73">
        <v>0.17</v>
      </c>
      <c r="R59" s="74">
        <v>2.13</v>
      </c>
      <c r="S59" s="88">
        <v>90</v>
      </c>
      <c r="T59" s="79"/>
      <c r="U59" s="75">
        <v>0.55000000000000004</v>
      </c>
      <c r="V59" s="75">
        <v>0.52</v>
      </c>
      <c r="W59" s="75">
        <v>0.62</v>
      </c>
      <c r="X59" s="75">
        <v>0.78</v>
      </c>
      <c r="Y59" s="75">
        <v>0.66</v>
      </c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>
        <f t="shared" si="15"/>
        <v>0.626</v>
      </c>
      <c r="AN59" s="89">
        <v>3.67</v>
      </c>
      <c r="AO59" s="90"/>
      <c r="AP59" s="76"/>
      <c r="AQ59" s="74">
        <f t="shared" si="11"/>
        <v>0.16999999999999993</v>
      </c>
      <c r="AR59" s="82">
        <f t="shared" si="12"/>
        <v>632849.88500000001</v>
      </c>
      <c r="AS59" s="82">
        <f t="shared" si="13"/>
        <v>3047015.173</v>
      </c>
      <c r="AT59" s="82">
        <f t="shared" si="14"/>
        <v>142.60599999999999</v>
      </c>
      <c r="AU59" s="69"/>
      <c r="AV59" s="92"/>
      <c r="AX59" s="79"/>
    </row>
    <row r="60" spans="1:50" x14ac:dyDescent="0.6">
      <c r="A60" s="84" t="s">
        <v>152</v>
      </c>
      <c r="B60" s="84" t="s">
        <v>319</v>
      </c>
      <c r="C60" s="84" t="s">
        <v>320</v>
      </c>
      <c r="D60" s="69" t="s">
        <v>261</v>
      </c>
      <c r="E60" s="85"/>
      <c r="G60" s="86" t="s">
        <v>321</v>
      </c>
      <c r="H60" s="74">
        <v>632772.16899999999</v>
      </c>
      <c r="I60" s="75">
        <v>3046931.6529999999</v>
      </c>
      <c r="J60" s="75">
        <v>134.36000000000001</v>
      </c>
      <c r="K60" s="69" t="s">
        <v>279</v>
      </c>
      <c r="L60" s="82">
        <v>1.96</v>
      </c>
      <c r="M60" s="82">
        <v>633905.23300000001</v>
      </c>
      <c r="N60" s="82">
        <v>3049240.4479999999</v>
      </c>
      <c r="O60" s="82">
        <v>56.39</v>
      </c>
      <c r="P60" s="121" t="s">
        <v>342</v>
      </c>
      <c r="Q60" s="73">
        <v>-7.0000000000000007E-2</v>
      </c>
      <c r="R60" s="74">
        <v>1.89</v>
      </c>
      <c r="S60" s="88">
        <v>90</v>
      </c>
      <c r="T60" s="79"/>
      <c r="U60" s="75">
        <v>0.85</v>
      </c>
      <c r="V60" s="75">
        <v>0.82</v>
      </c>
      <c r="W60" s="75">
        <v>0.84</v>
      </c>
      <c r="X60" s="75">
        <v>0.92</v>
      </c>
      <c r="Y60" s="75">
        <v>0.84</v>
      </c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>
        <f t="shared" si="15"/>
        <v>0.85399999999999987</v>
      </c>
      <c r="AN60" s="89">
        <v>3.67</v>
      </c>
      <c r="AO60" s="90"/>
      <c r="AP60" s="76"/>
      <c r="AQ60" s="74">
        <f t="shared" si="11"/>
        <v>-6.999999999999984E-2</v>
      </c>
      <c r="AR60" s="82">
        <f t="shared" si="12"/>
        <v>632772.16899999999</v>
      </c>
      <c r="AS60" s="82">
        <f t="shared" si="13"/>
        <v>3046931.6529999999</v>
      </c>
      <c r="AT60" s="82">
        <f t="shared" si="14"/>
        <v>130.32999999999998</v>
      </c>
      <c r="AU60" s="69"/>
      <c r="AV60" s="92"/>
      <c r="AX60" s="79"/>
    </row>
    <row r="61" spans="1:50" x14ac:dyDescent="0.6">
      <c r="A61" s="105" t="s">
        <v>153</v>
      </c>
      <c r="B61" s="105"/>
      <c r="C61" s="105"/>
      <c r="D61" s="105"/>
      <c r="E61" s="106"/>
      <c r="F61" s="107"/>
      <c r="G61" s="108"/>
      <c r="H61" s="109"/>
      <c r="I61" s="110"/>
      <c r="J61" s="110"/>
      <c r="K61" s="105"/>
      <c r="L61" s="111"/>
      <c r="M61" s="112"/>
      <c r="N61" s="112"/>
      <c r="O61" s="112"/>
      <c r="P61" s="113"/>
      <c r="Q61" s="114"/>
      <c r="R61" s="109"/>
      <c r="S61" s="115"/>
      <c r="T61" s="115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22"/>
      <c r="AO61" s="117"/>
      <c r="AP61" s="118"/>
      <c r="AQ61" s="109"/>
      <c r="AR61" s="111"/>
      <c r="AS61" s="111"/>
      <c r="AT61" s="111"/>
      <c r="AU61" s="105"/>
      <c r="AV61" s="119"/>
      <c r="AX61" s="115"/>
    </row>
    <row r="62" spans="1:50" x14ac:dyDescent="0.6">
      <c r="A62" s="105" t="s">
        <v>154</v>
      </c>
      <c r="B62" s="105"/>
      <c r="C62" s="105"/>
      <c r="D62" s="105"/>
      <c r="E62" s="106"/>
      <c r="F62" s="107"/>
      <c r="G62" s="108"/>
      <c r="H62" s="109"/>
      <c r="I62" s="110"/>
      <c r="J62" s="110"/>
      <c r="K62" s="105"/>
      <c r="L62" s="111"/>
      <c r="M62" s="112"/>
      <c r="N62" s="112"/>
      <c r="O62" s="112"/>
      <c r="P62" s="113"/>
      <c r="Q62" s="114"/>
      <c r="R62" s="109"/>
      <c r="S62" s="115"/>
      <c r="T62" s="115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22"/>
      <c r="AO62" s="117"/>
      <c r="AP62" s="118"/>
      <c r="AQ62" s="109"/>
      <c r="AR62" s="111"/>
      <c r="AS62" s="111"/>
      <c r="AT62" s="111"/>
      <c r="AU62" s="105"/>
      <c r="AV62" s="119"/>
      <c r="AX62" s="115"/>
    </row>
    <row r="63" spans="1:50" x14ac:dyDescent="0.6">
      <c r="A63" s="84" t="s">
        <v>155</v>
      </c>
      <c r="B63" s="84" t="s">
        <v>277</v>
      </c>
      <c r="C63" s="84" t="s">
        <v>291</v>
      </c>
      <c r="D63" s="69" t="s">
        <v>261</v>
      </c>
      <c r="E63" s="85"/>
      <c r="G63" s="86" t="s">
        <v>280</v>
      </c>
      <c r="H63" s="74">
        <v>632322.53899999999</v>
      </c>
      <c r="I63" s="75">
        <v>3045459.6740000001</v>
      </c>
      <c r="J63" s="75">
        <v>88.822000000000003</v>
      </c>
      <c r="K63" s="304" t="s">
        <v>279</v>
      </c>
      <c r="L63" s="82">
        <v>1.96</v>
      </c>
      <c r="M63" s="269">
        <v>633905.23300000001</v>
      </c>
      <c r="N63" s="269">
        <v>3049240.4479999999</v>
      </c>
      <c r="O63" s="269">
        <v>56.39</v>
      </c>
      <c r="P63" s="87" t="s">
        <v>342</v>
      </c>
      <c r="Q63" s="73">
        <v>0.51</v>
      </c>
      <c r="R63" s="74">
        <v>2.4699999999999998</v>
      </c>
      <c r="S63" s="88">
        <v>90</v>
      </c>
      <c r="T63" s="79"/>
      <c r="U63" s="75">
        <v>0.38</v>
      </c>
      <c r="V63" s="75">
        <v>0.32</v>
      </c>
      <c r="W63" s="75">
        <v>0.28999999999999998</v>
      </c>
      <c r="X63" s="75">
        <v>0.3</v>
      </c>
      <c r="Y63" s="75">
        <v>0.18</v>
      </c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342">
        <f t="shared" si="15"/>
        <v>0.29399999999999998</v>
      </c>
      <c r="AN63" s="89">
        <v>3.67</v>
      </c>
      <c r="AO63"/>
      <c r="AP63" s="76"/>
      <c r="AQ63" s="74">
        <f t="shared" si="11"/>
        <v>0.50999999999999979</v>
      </c>
      <c r="AR63" s="82">
        <f t="shared" si="12"/>
        <v>632322.53899999999</v>
      </c>
      <c r="AS63" s="82">
        <f t="shared" si="13"/>
        <v>3045459.6740000001</v>
      </c>
      <c r="AT63" s="82">
        <f t="shared" si="14"/>
        <v>84.792000000000016</v>
      </c>
      <c r="AU63" s="69"/>
      <c r="AV63" s="92"/>
      <c r="AX63" s="79"/>
    </row>
    <row r="64" spans="1:50" x14ac:dyDescent="0.6">
      <c r="A64" s="105" t="s">
        <v>156</v>
      </c>
      <c r="B64" s="105"/>
      <c r="C64" s="171"/>
      <c r="D64" s="105"/>
      <c r="E64" s="106"/>
      <c r="F64" s="107"/>
      <c r="G64" s="108"/>
      <c r="H64" s="109"/>
      <c r="I64" s="110"/>
      <c r="J64" s="110"/>
      <c r="K64" s="105"/>
      <c r="L64" s="111"/>
      <c r="M64" s="112"/>
      <c r="N64" s="112"/>
      <c r="O64" s="112"/>
      <c r="P64" s="306"/>
      <c r="Q64" s="114"/>
      <c r="R64" s="109"/>
      <c r="S64" s="115"/>
      <c r="T64" s="115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22"/>
      <c r="AO64" s="117"/>
      <c r="AP64" s="118"/>
      <c r="AQ64" s="109"/>
      <c r="AR64" s="111"/>
      <c r="AS64" s="111"/>
      <c r="AT64" s="111"/>
      <c r="AU64" s="105"/>
      <c r="AV64" s="119"/>
      <c r="AX64" s="115"/>
    </row>
    <row r="65" spans="1:50" x14ac:dyDescent="0.6">
      <c r="A65" s="84" t="s">
        <v>157</v>
      </c>
      <c r="B65" s="84" t="s">
        <v>277</v>
      </c>
      <c r="C65" s="84" t="s">
        <v>284</v>
      </c>
      <c r="D65" s="69" t="s">
        <v>261</v>
      </c>
      <c r="E65" s="85"/>
      <c r="G65" s="86" t="s">
        <v>280</v>
      </c>
      <c r="H65" s="74">
        <v>632687.73899999994</v>
      </c>
      <c r="I65" s="75">
        <v>3045849.7</v>
      </c>
      <c r="J65" s="75">
        <v>174.071</v>
      </c>
      <c r="K65" s="69" t="s">
        <v>279</v>
      </c>
      <c r="L65" s="82">
        <v>1.96</v>
      </c>
      <c r="M65" s="269">
        <v>633905.23300000001</v>
      </c>
      <c r="N65" s="269">
        <v>3049240.4479999999</v>
      </c>
      <c r="O65" s="269">
        <v>56.39</v>
      </c>
      <c r="P65" s="121" t="s">
        <v>342</v>
      </c>
      <c r="Q65" s="73">
        <v>0.54</v>
      </c>
      <c r="R65" s="74">
        <v>2.5</v>
      </c>
      <c r="S65" s="88">
        <v>90</v>
      </c>
      <c r="T65" s="79"/>
      <c r="U65" s="75">
        <v>0.57999999999999996</v>
      </c>
      <c r="V65" s="75">
        <v>0.56999999999999995</v>
      </c>
      <c r="W65" s="75">
        <v>0.56999999999999995</v>
      </c>
      <c r="X65" s="75">
        <v>0.57999999999999996</v>
      </c>
      <c r="Y65" s="75">
        <v>0.6</v>
      </c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342">
        <f t="shared" si="15"/>
        <v>0.57999999999999996</v>
      </c>
      <c r="AN65" s="89">
        <v>3.67</v>
      </c>
      <c r="AO65"/>
      <c r="AP65" s="76"/>
      <c r="AQ65" s="74">
        <f t="shared" si="11"/>
        <v>0.54</v>
      </c>
      <c r="AR65" s="82">
        <f t="shared" si="12"/>
        <v>632687.73899999994</v>
      </c>
      <c r="AS65" s="82">
        <f t="shared" si="13"/>
        <v>3045849.7</v>
      </c>
      <c r="AT65" s="82">
        <f t="shared" si="14"/>
        <v>170.041</v>
      </c>
      <c r="AU65" s="69"/>
      <c r="AV65" s="92"/>
      <c r="AX65" s="79"/>
    </row>
    <row r="66" spans="1:50" x14ac:dyDescent="0.6">
      <c r="A66" s="284" t="s">
        <v>158</v>
      </c>
      <c r="B66" s="284"/>
      <c r="C66" s="284"/>
      <c r="D66" s="285"/>
      <c r="E66" s="286"/>
      <c r="F66" s="287"/>
      <c r="G66" s="288"/>
      <c r="H66" s="289"/>
      <c r="I66" s="290"/>
      <c r="J66" s="290"/>
      <c r="K66" s="285"/>
      <c r="L66" s="291"/>
      <c r="M66" s="292"/>
      <c r="N66" s="292"/>
      <c r="O66" s="292"/>
      <c r="P66" s="293"/>
      <c r="Q66" s="294"/>
      <c r="R66" s="289"/>
      <c r="S66" s="295"/>
      <c r="T66" s="295"/>
      <c r="U66" s="290"/>
      <c r="V66" s="290"/>
      <c r="W66" s="290"/>
      <c r="X66" s="290"/>
      <c r="Y66" s="290"/>
      <c r="Z66" s="290"/>
      <c r="AA66" s="290"/>
      <c r="AB66" s="290"/>
      <c r="AC66" s="290"/>
      <c r="AD66" s="290"/>
      <c r="AE66" s="290"/>
      <c r="AF66" s="290"/>
      <c r="AG66" s="290"/>
      <c r="AH66" s="290"/>
      <c r="AI66" s="290"/>
      <c r="AJ66" s="290"/>
      <c r="AK66" s="290"/>
      <c r="AL66" s="290"/>
      <c r="AM66" s="290"/>
      <c r="AN66" s="296"/>
      <c r="AO66" s="297"/>
      <c r="AP66" s="298"/>
      <c r="AQ66" s="289"/>
      <c r="AR66" s="291"/>
      <c r="AS66" s="291"/>
      <c r="AT66" s="291"/>
      <c r="AU66" s="285"/>
      <c r="AV66" s="299"/>
      <c r="AX66" s="295"/>
    </row>
    <row r="67" spans="1:50" x14ac:dyDescent="0.6">
      <c r="A67" s="284" t="s">
        <v>159</v>
      </c>
      <c r="B67" s="284"/>
      <c r="C67" s="284"/>
      <c r="D67" s="285"/>
      <c r="E67" s="286"/>
      <c r="F67" s="287"/>
      <c r="G67" s="288"/>
      <c r="H67" s="289"/>
      <c r="I67" s="290"/>
      <c r="J67" s="290"/>
      <c r="K67" s="285"/>
      <c r="L67" s="291"/>
      <c r="M67" s="292"/>
      <c r="N67" s="292"/>
      <c r="O67" s="292"/>
      <c r="P67" s="293"/>
      <c r="Q67" s="294"/>
      <c r="R67" s="289"/>
      <c r="S67" s="295"/>
      <c r="T67" s="295"/>
      <c r="U67" s="290"/>
      <c r="V67" s="290"/>
      <c r="W67" s="290"/>
      <c r="X67" s="290"/>
      <c r="Y67" s="290"/>
      <c r="Z67" s="290"/>
      <c r="AA67" s="290"/>
      <c r="AB67" s="290"/>
      <c r="AC67" s="290"/>
      <c r="AD67" s="290"/>
      <c r="AE67" s="290"/>
      <c r="AF67" s="290"/>
      <c r="AG67" s="290"/>
      <c r="AH67" s="290"/>
      <c r="AI67" s="290"/>
      <c r="AJ67" s="290"/>
      <c r="AK67" s="290"/>
      <c r="AL67" s="290"/>
      <c r="AM67" s="290"/>
      <c r="AN67" s="296"/>
      <c r="AO67" s="297"/>
      <c r="AP67" s="298"/>
      <c r="AQ67" s="289"/>
      <c r="AR67" s="291"/>
      <c r="AS67" s="291"/>
      <c r="AT67" s="291"/>
      <c r="AU67" s="285"/>
      <c r="AV67" s="299"/>
      <c r="AX67" s="295"/>
    </row>
    <row r="68" spans="1:50" x14ac:dyDescent="0.6">
      <c r="A68" s="84" t="s">
        <v>160</v>
      </c>
      <c r="B68" s="84" t="s">
        <v>303</v>
      </c>
      <c r="C68" s="84" t="s">
        <v>307</v>
      </c>
      <c r="D68" s="69" t="s">
        <v>261</v>
      </c>
      <c r="E68" s="85"/>
      <c r="G68" s="86" t="s">
        <v>304</v>
      </c>
      <c r="H68" s="75">
        <v>634249.83200000005</v>
      </c>
      <c r="I68" s="75">
        <v>3046400.33</v>
      </c>
      <c r="J68" s="75">
        <v>291.23</v>
      </c>
      <c r="K68" s="69" t="s">
        <v>279</v>
      </c>
      <c r="L68" s="82">
        <v>1.33</v>
      </c>
      <c r="M68" s="269">
        <v>633905.23300000001</v>
      </c>
      <c r="N68" s="269">
        <v>3049240.4479999999</v>
      </c>
      <c r="O68" s="269">
        <v>56.39</v>
      </c>
      <c r="P68" s="87" t="s">
        <v>348</v>
      </c>
      <c r="Q68" s="73">
        <v>7.0000000000000007E-2</v>
      </c>
      <c r="R68" s="74">
        <v>1.4000000000000001</v>
      </c>
      <c r="S68" s="88">
        <v>90</v>
      </c>
      <c r="T68" s="79"/>
      <c r="U68" s="75">
        <v>1.92</v>
      </c>
      <c r="V68" s="75">
        <v>1.79</v>
      </c>
      <c r="W68" s="75">
        <v>1.86</v>
      </c>
      <c r="X68" s="75">
        <v>1.9</v>
      </c>
      <c r="Y68" s="75">
        <v>1.92</v>
      </c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342">
        <f t="shared" si="15"/>
        <v>1.8780000000000001</v>
      </c>
      <c r="AN68" s="89">
        <v>3.67</v>
      </c>
      <c r="AO68"/>
      <c r="AP68" s="76"/>
      <c r="AQ68" s="74">
        <f t="shared" si="11"/>
        <v>6.999999999999984E-2</v>
      </c>
      <c r="AR68" s="82">
        <f t="shared" si="12"/>
        <v>634249.83200000005</v>
      </c>
      <c r="AS68" s="82">
        <f t="shared" si="13"/>
        <v>3046400.33</v>
      </c>
      <c r="AT68" s="82">
        <f t="shared" si="14"/>
        <v>288.46000000000004</v>
      </c>
      <c r="AU68" s="69"/>
      <c r="AV68" s="92"/>
      <c r="AX68" s="79"/>
    </row>
    <row r="69" spans="1:50" x14ac:dyDescent="0.6">
      <c r="A69" s="284" t="s">
        <v>161</v>
      </c>
      <c r="B69" s="284"/>
      <c r="C69" s="284"/>
      <c r="D69" s="285"/>
      <c r="E69" s="286"/>
      <c r="F69" s="287"/>
      <c r="G69" s="288"/>
      <c r="H69" s="289"/>
      <c r="I69" s="290"/>
      <c r="J69" s="290"/>
      <c r="K69" s="285"/>
      <c r="L69" s="291"/>
      <c r="M69" s="292"/>
      <c r="N69" s="292"/>
      <c r="O69" s="292"/>
      <c r="P69" s="293"/>
      <c r="Q69" s="294"/>
      <c r="R69" s="289"/>
      <c r="S69" s="295"/>
      <c r="T69" s="295"/>
      <c r="U69" s="290"/>
      <c r="V69" s="290"/>
      <c r="W69" s="290"/>
      <c r="X69" s="290"/>
      <c r="Y69" s="290"/>
      <c r="Z69" s="290"/>
      <c r="AA69" s="290"/>
      <c r="AB69" s="290"/>
      <c r="AC69" s="290"/>
      <c r="AD69" s="290"/>
      <c r="AE69" s="290"/>
      <c r="AF69" s="290"/>
      <c r="AG69" s="290"/>
      <c r="AH69" s="290"/>
      <c r="AI69" s="290"/>
      <c r="AJ69" s="290"/>
      <c r="AK69" s="290"/>
      <c r="AL69" s="290"/>
      <c r="AM69" s="290"/>
      <c r="AN69" s="296"/>
      <c r="AO69" s="297"/>
      <c r="AP69" s="298"/>
      <c r="AQ69" s="289"/>
      <c r="AR69" s="291"/>
      <c r="AS69" s="291"/>
      <c r="AT69" s="291"/>
      <c r="AU69" s="285"/>
      <c r="AV69" s="299"/>
      <c r="AX69" s="295"/>
    </row>
    <row r="70" spans="1:50" x14ac:dyDescent="0.6">
      <c r="A70" s="84" t="s">
        <v>162</v>
      </c>
      <c r="B70" s="84" t="s">
        <v>277</v>
      </c>
      <c r="C70" s="84" t="s">
        <v>292</v>
      </c>
      <c r="D70" s="69" t="s">
        <v>261</v>
      </c>
      <c r="E70" s="85"/>
      <c r="G70" s="86" t="s">
        <v>280</v>
      </c>
      <c r="H70" s="75">
        <v>633584.56400000001</v>
      </c>
      <c r="I70" s="75">
        <v>3047344.9479999999</v>
      </c>
      <c r="J70" s="75">
        <v>289.23899999999998</v>
      </c>
      <c r="K70" s="69" t="s">
        <v>279</v>
      </c>
      <c r="L70" s="82">
        <v>1.96</v>
      </c>
      <c r="M70" s="269">
        <v>633905.23300000001</v>
      </c>
      <c r="N70" s="269">
        <v>3049240.4479999999</v>
      </c>
      <c r="O70" s="269">
        <v>56.39</v>
      </c>
      <c r="P70" s="121" t="s">
        <v>342</v>
      </c>
      <c r="Q70" s="73">
        <v>-0.46</v>
      </c>
      <c r="R70" s="74">
        <v>1.5</v>
      </c>
      <c r="S70" s="88">
        <v>90</v>
      </c>
      <c r="T70" s="79"/>
      <c r="U70" s="75">
        <v>0.99</v>
      </c>
      <c r="V70" s="75">
        <v>1.18</v>
      </c>
      <c r="W70" s="75">
        <v>1.22</v>
      </c>
      <c r="X70" s="75">
        <v>1.24</v>
      </c>
      <c r="Y70" s="75">
        <v>1.26</v>
      </c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342">
        <f t="shared" si="15"/>
        <v>1.1779999999999999</v>
      </c>
      <c r="AN70" s="89">
        <v>3.67</v>
      </c>
      <c r="AO70"/>
      <c r="AP70" s="76"/>
      <c r="AQ70" s="74">
        <f t="shared" ref="AQ70:AQ74" si="16">AN70-(AN70-Q70)*(SIN((S70+AX70)*PI()/180))/(COS(AX70*PI()/180))</f>
        <v>-0.45999999999999996</v>
      </c>
      <c r="AR70" s="82">
        <f t="shared" ref="AR70:AR74" si="17">H70+($M$1-M70)-(AN70-Q70)*(COS(S70*PI()/180))*(SIN((T70+13+2.3)*PI()/180))</f>
        <v>633584.56400000001</v>
      </c>
      <c r="AS70" s="82">
        <f t="shared" ref="AS70:AS74" si="18">I70+($N$1-N70)-(AN70-Q70)*(COS(S70*PI()/180))*(COS((T70+13+2.3)*PI()/180))</f>
        <v>3047344.9479999999</v>
      </c>
      <c r="AT70" s="82">
        <f t="shared" ref="AT70:AT74" si="19">J70+($O$1-O70)-R70+AN70-(AN70-Q70)*(SIN(S70*PI()/180))-L70</f>
        <v>285.209</v>
      </c>
      <c r="AU70" s="69"/>
      <c r="AV70" s="92"/>
      <c r="AX70" s="79"/>
    </row>
    <row r="71" spans="1:50" x14ac:dyDescent="0.6">
      <c r="A71" s="84" t="s">
        <v>163</v>
      </c>
      <c r="B71" s="84" t="s">
        <v>277</v>
      </c>
      <c r="C71" s="84" t="s">
        <v>293</v>
      </c>
      <c r="D71" s="69" t="s">
        <v>261</v>
      </c>
      <c r="E71" s="85"/>
      <c r="G71" s="86" t="s">
        <v>280</v>
      </c>
      <c r="H71" s="75">
        <v>632155.66799999995</v>
      </c>
      <c r="I71" s="75">
        <v>3045371.9309999999</v>
      </c>
      <c r="J71" s="75">
        <v>50.335000000000001</v>
      </c>
      <c r="K71" s="69" t="s">
        <v>279</v>
      </c>
      <c r="L71" s="82">
        <v>1.96</v>
      </c>
      <c r="M71" s="269">
        <v>633905.23300000001</v>
      </c>
      <c r="N71" s="269">
        <v>3049240.4479999999</v>
      </c>
      <c r="O71" s="269">
        <v>56.39</v>
      </c>
      <c r="P71" s="121" t="s">
        <v>342</v>
      </c>
      <c r="Q71" s="73">
        <v>0.71</v>
      </c>
      <c r="R71" s="74">
        <v>2.67</v>
      </c>
      <c r="S71" s="88">
        <v>90</v>
      </c>
      <c r="T71" s="79"/>
      <c r="U71" s="75">
        <v>0.16</v>
      </c>
      <c r="V71" s="75">
        <v>0.25</v>
      </c>
      <c r="W71" s="75">
        <v>0.3</v>
      </c>
      <c r="X71" s="75">
        <v>0.15</v>
      </c>
      <c r="Y71" s="75">
        <v>0.38</v>
      </c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342">
        <f t="shared" si="15"/>
        <v>0.248</v>
      </c>
      <c r="AN71" s="89">
        <v>3.67</v>
      </c>
      <c r="AO71"/>
      <c r="AP71" s="76"/>
      <c r="AQ71" s="74">
        <f t="shared" si="16"/>
        <v>0.71</v>
      </c>
      <c r="AR71" s="82">
        <f t="shared" si="17"/>
        <v>632155.66799999995</v>
      </c>
      <c r="AS71" s="82">
        <f t="shared" si="18"/>
        <v>3045371.9309999999</v>
      </c>
      <c r="AT71" s="82">
        <f t="shared" si="19"/>
        <v>46.305</v>
      </c>
      <c r="AU71" s="69"/>
      <c r="AV71" s="92"/>
      <c r="AX71" s="79"/>
    </row>
    <row r="72" spans="1:50" x14ac:dyDescent="0.6">
      <c r="A72" s="84" t="s">
        <v>164</v>
      </c>
      <c r="B72" s="84" t="s">
        <v>322</v>
      </c>
      <c r="C72" s="84" t="s">
        <v>328</v>
      </c>
      <c r="D72" s="69" t="s">
        <v>261</v>
      </c>
      <c r="E72" s="85"/>
      <c r="G72" s="86" t="s">
        <v>323</v>
      </c>
      <c r="H72" s="75">
        <v>633871.897</v>
      </c>
      <c r="I72" s="75">
        <v>3048312.764</v>
      </c>
      <c r="J72" s="75">
        <v>211.11099999999999</v>
      </c>
      <c r="K72" s="69" t="s">
        <v>279</v>
      </c>
      <c r="L72" s="82">
        <v>1.96</v>
      </c>
      <c r="M72" s="82">
        <v>633905.23300000001</v>
      </c>
      <c r="N72" s="82">
        <v>3049240.4479999999</v>
      </c>
      <c r="O72" s="82">
        <v>56.39</v>
      </c>
      <c r="P72" s="121" t="s">
        <v>342</v>
      </c>
      <c r="Q72" s="73">
        <v>0.18</v>
      </c>
      <c r="R72" s="74">
        <v>2.14</v>
      </c>
      <c r="S72" s="88">
        <v>90</v>
      </c>
      <c r="T72" s="79"/>
      <c r="U72" s="75">
        <v>0.64</v>
      </c>
      <c r="V72" s="75">
        <v>0.63</v>
      </c>
      <c r="W72" s="75">
        <v>0.71</v>
      </c>
      <c r="X72" s="75">
        <v>0.72</v>
      </c>
      <c r="Y72" s="75">
        <v>0.63</v>
      </c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342">
        <f t="shared" si="15"/>
        <v>0.66600000000000004</v>
      </c>
      <c r="AN72" s="89">
        <v>3.67</v>
      </c>
      <c r="AO72"/>
      <c r="AP72" s="76"/>
      <c r="AQ72" s="74">
        <f t="shared" si="16"/>
        <v>0.18000000000000016</v>
      </c>
      <c r="AR72" s="82">
        <f t="shared" si="17"/>
        <v>633871.897</v>
      </c>
      <c r="AS72" s="82">
        <f t="shared" si="18"/>
        <v>3048312.764</v>
      </c>
      <c r="AT72" s="82">
        <f t="shared" si="19"/>
        <v>207.08099999999996</v>
      </c>
      <c r="AU72" s="69"/>
      <c r="AV72" s="92"/>
      <c r="AX72" s="79"/>
    </row>
    <row r="73" spans="1:50" x14ac:dyDescent="0.6">
      <c r="A73" s="105" t="s">
        <v>165</v>
      </c>
      <c r="B73" s="105"/>
      <c r="C73" s="105"/>
      <c r="D73" s="105"/>
      <c r="E73" s="106"/>
      <c r="F73" s="107"/>
      <c r="G73" s="108"/>
      <c r="H73" s="109"/>
      <c r="I73" s="110"/>
      <c r="J73" s="110"/>
      <c r="K73" s="105"/>
      <c r="L73" s="111"/>
      <c r="M73" s="112"/>
      <c r="N73" s="112"/>
      <c r="O73" s="112"/>
      <c r="P73" s="113"/>
      <c r="Q73" s="114"/>
      <c r="R73" s="109"/>
      <c r="S73" s="115"/>
      <c r="T73" s="115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22"/>
      <c r="AO73" s="117"/>
      <c r="AP73" s="118"/>
      <c r="AQ73" s="109"/>
      <c r="AR73" s="111"/>
      <c r="AS73" s="111"/>
      <c r="AT73" s="111"/>
      <c r="AU73" s="105"/>
      <c r="AV73" s="119"/>
      <c r="AX73" s="115"/>
    </row>
    <row r="74" spans="1:50" x14ac:dyDescent="0.6">
      <c r="A74" s="84" t="s">
        <v>166</v>
      </c>
      <c r="B74" s="84" t="s">
        <v>322</v>
      </c>
      <c r="C74" s="84" t="s">
        <v>327</v>
      </c>
      <c r="D74" s="69" t="s">
        <v>261</v>
      </c>
      <c r="E74" s="85"/>
      <c r="G74" s="86" t="s">
        <v>323</v>
      </c>
      <c r="H74" s="75">
        <v>633458.73400000005</v>
      </c>
      <c r="I74" s="75">
        <v>3048065.8169999998</v>
      </c>
      <c r="J74" s="75">
        <v>173.87100000000001</v>
      </c>
      <c r="K74" s="69" t="s">
        <v>279</v>
      </c>
      <c r="L74" s="91">
        <v>0.23</v>
      </c>
      <c r="M74" s="82">
        <v>633905.23300000001</v>
      </c>
      <c r="N74" s="82">
        <v>3049240.4479999999</v>
      </c>
      <c r="O74" s="82">
        <v>56.39</v>
      </c>
      <c r="P74" s="87" t="s">
        <v>349</v>
      </c>
      <c r="Q74" s="73">
        <v>1.21</v>
      </c>
      <c r="R74" s="74">
        <v>1.44</v>
      </c>
      <c r="S74" s="88">
        <v>90</v>
      </c>
      <c r="T74" s="79"/>
      <c r="U74" s="75">
        <v>0.8</v>
      </c>
      <c r="V74" s="75">
        <v>0.92</v>
      </c>
      <c r="W74" s="75">
        <v>0.92</v>
      </c>
      <c r="X74" s="75">
        <v>0.9</v>
      </c>
      <c r="Y74" s="75">
        <v>0.93</v>
      </c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>
        <f t="shared" si="15"/>
        <v>0.89399999999999991</v>
      </c>
      <c r="AN74" s="89">
        <v>3.67</v>
      </c>
      <c r="AO74" s="90"/>
      <c r="AP74" s="76"/>
      <c r="AQ74" s="74">
        <f t="shared" si="16"/>
        <v>1.21</v>
      </c>
      <c r="AR74" s="82">
        <f t="shared" si="17"/>
        <v>633458.73400000005</v>
      </c>
      <c r="AS74" s="82">
        <f t="shared" si="18"/>
        <v>3048065.8169999998</v>
      </c>
      <c r="AT74" s="82">
        <f t="shared" si="19"/>
        <v>173.30100000000002</v>
      </c>
      <c r="AU74" s="69"/>
      <c r="AV74" s="92"/>
      <c r="AX74" s="79"/>
    </row>
    <row r="75" spans="1:50" x14ac:dyDescent="0.6">
      <c r="A75" s="84" t="s">
        <v>262</v>
      </c>
      <c r="B75" s="84" t="s">
        <v>277</v>
      </c>
      <c r="C75" s="84" t="s">
        <v>294</v>
      </c>
      <c r="D75" s="69" t="s">
        <v>261</v>
      </c>
      <c r="E75" s="85"/>
      <c r="G75" s="86" t="s">
        <v>280</v>
      </c>
      <c r="H75" s="75">
        <v>633226.52899999998</v>
      </c>
      <c r="I75" s="75">
        <v>3045741.1329999999</v>
      </c>
      <c r="J75" s="75">
        <v>226.27600000000001</v>
      </c>
      <c r="K75" s="69" t="s">
        <v>279</v>
      </c>
      <c r="L75" s="82">
        <v>1.96</v>
      </c>
      <c r="M75" s="269">
        <v>633905.23300000001</v>
      </c>
      <c r="N75" s="269">
        <v>3049240.4479999999</v>
      </c>
      <c r="O75" s="269">
        <v>56.39</v>
      </c>
      <c r="P75" s="121" t="s">
        <v>342</v>
      </c>
      <c r="Q75" s="307">
        <v>-0.72</v>
      </c>
      <c r="R75" s="74">
        <v>1.24</v>
      </c>
      <c r="S75" s="88">
        <v>90</v>
      </c>
      <c r="T75" s="79"/>
      <c r="U75" s="75">
        <v>1.35</v>
      </c>
      <c r="V75" s="75">
        <v>1.35</v>
      </c>
      <c r="W75" s="75">
        <v>1.33</v>
      </c>
      <c r="X75" s="75">
        <v>1.5</v>
      </c>
      <c r="Y75" s="75">
        <v>1.38</v>
      </c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>
        <f t="shared" ref="AM75" si="20">AVERAGE(U75:AC75)</f>
        <v>1.3820000000000001</v>
      </c>
      <c r="AN75" s="89">
        <v>3.67</v>
      </c>
      <c r="AO75" s="90"/>
      <c r="AP75" s="76"/>
      <c r="AQ75" s="74">
        <f t="shared" ref="AQ75" si="21">AN75-(AN75-Q75)*(SIN((S75+AX75)*PI()/180))/(COS(AX75*PI()/180))</f>
        <v>-0.71999999999999975</v>
      </c>
      <c r="AR75" s="82">
        <f t="shared" ref="AR75" si="22">H75+($M$1-M75)-(AN75-Q75)*(COS(S75*PI()/180))*(SIN((T75+13+2.3)*PI()/180))</f>
        <v>633226.52899999998</v>
      </c>
      <c r="AS75" s="82">
        <f t="shared" ref="AS75" si="23">I75+($N$1-N75)-(AN75-Q75)*(COS(S75*PI()/180))*(COS((T75+13+2.3)*PI()/180))</f>
        <v>3045741.1329999999</v>
      </c>
      <c r="AT75" s="82">
        <f t="shared" ref="AT75" si="24">J75+($O$1-O75)-R75+AN75-(AN75-Q75)*(SIN(S75*PI()/180))-L75</f>
        <v>222.24599999999998</v>
      </c>
      <c r="AU75" s="69"/>
      <c r="AV75" s="92"/>
      <c r="AX75" s="79"/>
    </row>
    <row r="76" spans="1:50" x14ac:dyDescent="0.6">
      <c r="A76" s="14" t="s">
        <v>270</v>
      </c>
      <c r="B76" s="84" t="s">
        <v>319</v>
      </c>
      <c r="C76" s="84" t="s">
        <v>320</v>
      </c>
      <c r="D76" s="69" t="s">
        <v>261</v>
      </c>
      <c r="E76" s="85"/>
      <c r="G76" s="86" t="s">
        <v>321</v>
      </c>
      <c r="H76" s="75">
        <v>632554.62699999998</v>
      </c>
      <c r="I76" s="75">
        <v>3047018.548</v>
      </c>
      <c r="J76" s="75">
        <v>62.332000000000001</v>
      </c>
      <c r="K76" s="69" t="s">
        <v>279</v>
      </c>
      <c r="L76" s="91">
        <v>0.5</v>
      </c>
      <c r="M76" s="82">
        <v>633905.23300000001</v>
      </c>
      <c r="N76" s="82">
        <v>3049240.4479999999</v>
      </c>
      <c r="O76" s="82">
        <v>56.39</v>
      </c>
      <c r="P76" s="87" t="s">
        <v>350</v>
      </c>
      <c r="Q76" s="73">
        <v>1.02</v>
      </c>
      <c r="R76" s="74">
        <v>1.52</v>
      </c>
      <c r="S76" s="88">
        <v>90</v>
      </c>
      <c r="T76" s="79"/>
      <c r="U76" s="75">
        <v>0.56999999999999995</v>
      </c>
      <c r="V76" s="75">
        <v>0.53</v>
      </c>
      <c r="W76" s="75">
        <v>0.64</v>
      </c>
      <c r="X76" s="75">
        <v>0.52</v>
      </c>
      <c r="Y76" s="75">
        <v>0.41</v>
      </c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>
        <f t="shared" ref="AM76:AM79" si="25">AVERAGE(U76:AC76)</f>
        <v>0.53400000000000003</v>
      </c>
      <c r="AN76" s="89">
        <v>3.67</v>
      </c>
      <c r="AO76" s="90"/>
      <c r="AP76" s="76"/>
      <c r="AQ76" s="74">
        <f t="shared" ref="AQ76:AQ79" si="26">AN76-(AN76-Q76)*(SIN((S76+AX76)*PI()/180))/(COS(AX76*PI()/180))</f>
        <v>1.02</v>
      </c>
      <c r="AR76" s="82">
        <f t="shared" ref="AR76:AR79" si="27">H76+($M$1-M76)-(AN76-Q76)*(COS(S76*PI()/180))*(SIN((T76+13+2.3)*PI()/180))</f>
        <v>632554.62699999998</v>
      </c>
      <c r="AS76" s="82">
        <f t="shared" ref="AS76:AS79" si="28">I76+($N$1-N76)-(AN76-Q76)*(COS(S76*PI()/180))*(COS((T76+13+2.3)*PI()/180))</f>
        <v>3047018.548</v>
      </c>
      <c r="AT76" s="82">
        <f t="shared" ref="AT76:AT79" si="29">J76+($O$1-O76)-R76+AN76-(AN76-Q76)*(SIN(S76*PI()/180))-L76</f>
        <v>61.222000000000001</v>
      </c>
      <c r="AU76" s="69"/>
      <c r="AV76" s="92"/>
      <c r="AX76" s="79"/>
    </row>
    <row r="77" spans="1:50" x14ac:dyDescent="0.6">
      <c r="A77" s="14" t="s">
        <v>271</v>
      </c>
      <c r="B77" s="84" t="s">
        <v>277</v>
      </c>
      <c r="C77" s="84" t="s">
        <v>337</v>
      </c>
      <c r="D77" s="69" t="s">
        <v>261</v>
      </c>
      <c r="E77" s="85"/>
      <c r="G77" s="86" t="s">
        <v>280</v>
      </c>
      <c r="H77" s="75">
        <v>632254.06499999994</v>
      </c>
      <c r="I77" s="75">
        <v>3045422.26</v>
      </c>
      <c r="J77" s="75">
        <v>70.47</v>
      </c>
      <c r="K77" s="69" t="s">
        <v>279</v>
      </c>
      <c r="L77" s="91">
        <v>1E-3</v>
      </c>
      <c r="M77" s="82">
        <v>633905.23300000001</v>
      </c>
      <c r="N77" s="82">
        <v>3049240.4479999999</v>
      </c>
      <c r="O77" s="82">
        <v>56.39</v>
      </c>
      <c r="P77" s="87" t="s">
        <v>343</v>
      </c>
      <c r="Q77" s="73">
        <v>0.92</v>
      </c>
      <c r="R77" s="74">
        <v>0.92100000000000004</v>
      </c>
      <c r="S77" s="88">
        <v>90</v>
      </c>
      <c r="T77" s="79"/>
      <c r="U77" s="75">
        <v>0.12</v>
      </c>
      <c r="V77" s="75">
        <v>0.08</v>
      </c>
      <c r="W77" s="75">
        <v>0.12</v>
      </c>
      <c r="X77" s="75">
        <v>0.06</v>
      </c>
      <c r="Y77" s="75">
        <v>0.08</v>
      </c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>
        <f t="shared" si="25"/>
        <v>9.1999999999999998E-2</v>
      </c>
      <c r="AN77" s="89">
        <v>3.67</v>
      </c>
      <c r="AO77" s="90"/>
      <c r="AP77" s="76"/>
      <c r="AQ77" s="74">
        <f t="shared" si="26"/>
        <v>0.91999999999999993</v>
      </c>
      <c r="AR77" s="82">
        <f t="shared" si="27"/>
        <v>632254.06499999994</v>
      </c>
      <c r="AS77" s="82">
        <f t="shared" si="28"/>
        <v>3045422.26</v>
      </c>
      <c r="AT77" s="82">
        <f t="shared" si="29"/>
        <v>70.35799999999999</v>
      </c>
      <c r="AU77" s="69"/>
      <c r="AV77" s="92"/>
      <c r="AX77" s="79"/>
    </row>
    <row r="78" spans="1:50" x14ac:dyDescent="0.6">
      <c r="A78" s="14" t="s">
        <v>272</v>
      </c>
      <c r="B78" s="84" t="s">
        <v>277</v>
      </c>
      <c r="C78" s="84" t="s">
        <v>336</v>
      </c>
      <c r="D78" s="69" t="s">
        <v>261</v>
      </c>
      <c r="E78" s="85"/>
      <c r="G78" s="86" t="s">
        <v>280</v>
      </c>
      <c r="H78" s="75">
        <v>632433.66099999996</v>
      </c>
      <c r="I78" s="75">
        <v>3045589.5189999999</v>
      </c>
      <c r="J78" s="75">
        <v>117.045</v>
      </c>
      <c r="K78" s="69" t="s">
        <v>279</v>
      </c>
      <c r="L78" s="82">
        <v>1.96</v>
      </c>
      <c r="M78" s="82">
        <v>633905.23300000001</v>
      </c>
      <c r="N78" s="82">
        <v>3049240.4479999999</v>
      </c>
      <c r="O78" s="82">
        <v>56.39</v>
      </c>
      <c r="P78" s="121" t="s">
        <v>342</v>
      </c>
      <c r="Q78" s="73">
        <v>0.24</v>
      </c>
      <c r="R78" s="74">
        <v>2.2000000000000002</v>
      </c>
      <c r="S78" s="88">
        <v>90</v>
      </c>
      <c r="T78" s="79"/>
      <c r="U78" s="110">
        <v>0.32</v>
      </c>
      <c r="V78" s="110">
        <v>0.44</v>
      </c>
      <c r="W78" s="110">
        <v>0.45</v>
      </c>
      <c r="X78" s="110">
        <v>0.42</v>
      </c>
      <c r="Y78" s="110">
        <v>0.4</v>
      </c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>
        <f t="shared" si="25"/>
        <v>0.40599999999999997</v>
      </c>
      <c r="AN78" s="89">
        <v>3.67</v>
      </c>
      <c r="AO78" s="90"/>
      <c r="AP78" s="76"/>
      <c r="AQ78" s="74">
        <f t="shared" si="26"/>
        <v>0.24000000000000021</v>
      </c>
      <c r="AR78" s="82">
        <f t="shared" si="27"/>
        <v>632433.66099999996</v>
      </c>
      <c r="AS78" s="82">
        <f t="shared" si="28"/>
        <v>3045589.5189999999</v>
      </c>
      <c r="AT78" s="82">
        <f t="shared" si="29"/>
        <v>113.015</v>
      </c>
      <c r="AU78" s="69"/>
      <c r="AV78" s="92"/>
      <c r="AX78" s="79"/>
    </row>
    <row r="79" spans="1:50" x14ac:dyDescent="0.6">
      <c r="A79" s="14" t="s">
        <v>273</v>
      </c>
      <c r="B79" s="84" t="s">
        <v>303</v>
      </c>
      <c r="C79" s="84" t="s">
        <v>305</v>
      </c>
      <c r="D79" s="69" t="s">
        <v>261</v>
      </c>
      <c r="E79" s="85"/>
      <c r="G79" s="86" t="s">
        <v>304</v>
      </c>
      <c r="H79" s="75">
        <v>632581.99100000004</v>
      </c>
      <c r="I79" s="75">
        <v>3046092.952</v>
      </c>
      <c r="J79" s="75">
        <v>170.21100000000001</v>
      </c>
      <c r="K79" s="69" t="s">
        <v>279</v>
      </c>
      <c r="L79" s="91">
        <v>1.27</v>
      </c>
      <c r="M79" s="82">
        <v>633905.23300000001</v>
      </c>
      <c r="N79" s="82">
        <v>3049240.4479999999</v>
      </c>
      <c r="O79" s="82">
        <v>56.39</v>
      </c>
      <c r="P79" s="87" t="s">
        <v>351</v>
      </c>
      <c r="Q79" s="73">
        <v>0.44</v>
      </c>
      <c r="R79" s="74">
        <v>1.71</v>
      </c>
      <c r="S79" s="88">
        <v>90</v>
      </c>
      <c r="T79" s="79"/>
      <c r="U79" s="75">
        <v>0.44</v>
      </c>
      <c r="V79" s="75">
        <v>0.47</v>
      </c>
      <c r="W79" s="75">
        <v>0.49</v>
      </c>
      <c r="X79" s="75">
        <v>0.45</v>
      </c>
      <c r="Y79" s="75">
        <v>0.46</v>
      </c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>
        <f t="shared" si="25"/>
        <v>0.46200000000000002</v>
      </c>
      <c r="AN79" s="89">
        <v>3.67</v>
      </c>
      <c r="AO79" s="90"/>
      <c r="AP79" s="76"/>
      <c r="AQ79" s="74">
        <f t="shared" si="26"/>
        <v>0.43999999999999995</v>
      </c>
      <c r="AR79" s="82">
        <f t="shared" si="27"/>
        <v>632581.99100000004</v>
      </c>
      <c r="AS79" s="82">
        <f t="shared" si="28"/>
        <v>3046092.952</v>
      </c>
      <c r="AT79" s="82">
        <f t="shared" si="29"/>
        <v>167.56099999999998</v>
      </c>
      <c r="AU79" s="69"/>
      <c r="AV79" s="92"/>
      <c r="AX79" s="79"/>
    </row>
  </sheetData>
  <sheetProtection selectLockedCells="1" selectUnlockedCells="1"/>
  <phoneticPr fontId="24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X79"/>
  <sheetViews>
    <sheetView zoomScale="98" zoomScaleNormal="98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2265625" defaultRowHeight="13" x14ac:dyDescent="0.6"/>
  <cols>
    <col min="1" max="1" width="9.453125" style="14" customWidth="1"/>
    <col min="2" max="2" width="9.453125" style="15" customWidth="1"/>
    <col min="3" max="3" width="9.2265625" style="16" customWidth="1"/>
    <col min="4" max="4" width="9.453125" style="14" customWidth="1"/>
    <col min="5" max="5" width="9.453125" style="15" customWidth="1"/>
    <col min="6" max="6" width="9.2265625" style="16" customWidth="1"/>
    <col min="7" max="7" width="15.54296875" style="17" customWidth="1"/>
    <col min="8" max="10" width="12" style="17" customWidth="1"/>
    <col min="11" max="11" width="7.2265625" style="14" customWidth="1"/>
    <col min="12" max="12" width="8.76953125" style="14" customWidth="1"/>
    <col min="13" max="15" width="12" style="14" customWidth="1"/>
    <col min="16" max="16" width="30.54296875" style="18" customWidth="1"/>
    <col min="17" max="20" width="6.54296875" style="19" customWidth="1"/>
    <col min="21" max="38" width="4.54296875" style="19" customWidth="1"/>
    <col min="39" max="39" width="8.453125" style="19" customWidth="1"/>
    <col min="40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6.54296875" style="14" customWidth="1"/>
    <col min="50" max="50" width="6.54296875" style="19" customWidth="1"/>
    <col min="51" max="16384" width="11.2265625" style="18"/>
  </cols>
  <sheetData>
    <row r="1" spans="1:50" s="34" customFormat="1" ht="16" x14ac:dyDescent="0.9">
      <c r="A1" s="20" t="s">
        <v>42</v>
      </c>
      <c r="B1" s="174" t="s">
        <v>269</v>
      </c>
      <c r="C1" s="21" t="s">
        <v>43</v>
      </c>
      <c r="D1" s="22" t="s">
        <v>267</v>
      </c>
      <c r="E1" s="23" t="s">
        <v>44</v>
      </c>
      <c r="F1" s="24" t="s">
        <v>268</v>
      </c>
      <c r="G1" s="25" t="s">
        <v>46</v>
      </c>
      <c r="H1" s="123" t="s">
        <v>47</v>
      </c>
      <c r="I1" s="27"/>
      <c r="J1" s="26"/>
      <c r="K1" s="28"/>
      <c r="L1" s="29" t="s">
        <v>48</v>
      </c>
      <c r="M1" s="30">
        <v>633905.21799999999</v>
      </c>
      <c r="N1" s="30">
        <v>3049240.4240000001</v>
      </c>
      <c r="O1" s="30">
        <f>56.475-0.11</f>
        <v>56.365000000000002</v>
      </c>
      <c r="P1" s="124" t="s">
        <v>167</v>
      </c>
      <c r="Q1" s="125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V1" s="35"/>
      <c r="AW1" s="14"/>
      <c r="AX1" s="33"/>
    </row>
    <row r="2" spans="1:50" ht="16" x14ac:dyDescent="0.9">
      <c r="A2" s="36" t="s">
        <v>49</v>
      </c>
      <c r="B2" s="37" t="s">
        <v>50</v>
      </c>
      <c r="C2" s="38" t="s">
        <v>51</v>
      </c>
      <c r="D2" s="37" t="s">
        <v>52</v>
      </c>
      <c r="E2" s="39" t="s">
        <v>53</v>
      </c>
      <c r="F2" s="40" t="s">
        <v>54</v>
      </c>
      <c r="G2" s="233" t="s">
        <v>55</v>
      </c>
      <c r="H2" s="42" t="s">
        <v>1</v>
      </c>
      <c r="I2" s="43" t="s">
        <v>3</v>
      </c>
      <c r="J2" s="43" t="s">
        <v>5</v>
      </c>
      <c r="K2" s="43" t="s">
        <v>56</v>
      </c>
      <c r="L2" s="44" t="s">
        <v>57</v>
      </c>
      <c r="M2" s="45" t="s">
        <v>11</v>
      </c>
      <c r="N2" s="45" t="s">
        <v>58</v>
      </c>
      <c r="O2" s="45" t="s">
        <v>15</v>
      </c>
      <c r="P2" s="46" t="s">
        <v>59</v>
      </c>
      <c r="Q2" s="47" t="s">
        <v>60</v>
      </c>
      <c r="R2" s="48" t="s">
        <v>61</v>
      </c>
      <c r="S2" s="49" t="s">
        <v>22</v>
      </c>
      <c r="T2" s="50" t="s">
        <v>24</v>
      </c>
      <c r="U2" s="51"/>
      <c r="V2" s="52"/>
      <c r="W2" s="52"/>
      <c r="X2" s="52"/>
      <c r="Y2" s="52" t="s">
        <v>62</v>
      </c>
      <c r="Z2" s="52"/>
      <c r="AA2" s="52"/>
      <c r="AB2" s="52"/>
      <c r="AC2" s="53"/>
      <c r="AD2" s="52"/>
      <c r="AE2" s="52"/>
      <c r="AF2" s="52"/>
      <c r="AG2" s="52"/>
      <c r="AH2" s="52" t="s">
        <v>63</v>
      </c>
      <c r="AI2" s="52"/>
      <c r="AJ2" s="52"/>
      <c r="AK2" s="52"/>
      <c r="AL2" s="54"/>
      <c r="AM2" s="55" t="s">
        <v>64</v>
      </c>
      <c r="AN2" s="56" t="s">
        <v>65</v>
      </c>
      <c r="AO2" s="57" t="s">
        <v>66</v>
      </c>
      <c r="AP2" s="46" t="s">
        <v>67</v>
      </c>
      <c r="AQ2" s="58" t="s">
        <v>68</v>
      </c>
      <c r="AR2" s="59" t="s">
        <v>69</v>
      </c>
      <c r="AS2" s="60" t="s">
        <v>70</v>
      </c>
      <c r="AT2" s="60" t="s">
        <v>71</v>
      </c>
      <c r="AU2" s="51" t="s">
        <v>72</v>
      </c>
      <c r="AV2" s="46" t="s">
        <v>73</v>
      </c>
      <c r="AW2" s="126" t="s">
        <v>40</v>
      </c>
      <c r="AX2" s="50" t="s">
        <v>26</v>
      </c>
    </row>
    <row r="3" spans="1:50" x14ac:dyDescent="0.6">
      <c r="B3" s="61" t="s">
        <v>74</v>
      </c>
      <c r="C3" s="62" t="s">
        <v>75</v>
      </c>
      <c r="D3" s="63" t="s">
        <v>168</v>
      </c>
      <c r="E3" s="61" t="s">
        <v>74</v>
      </c>
      <c r="F3" s="62" t="s">
        <v>75</v>
      </c>
      <c r="G3" s="234"/>
      <c r="H3" s="66" t="s">
        <v>78</v>
      </c>
      <c r="I3" s="67" t="s">
        <v>79</v>
      </c>
      <c r="J3" s="68" t="s">
        <v>80</v>
      </c>
      <c r="K3" s="69"/>
      <c r="L3" s="70"/>
      <c r="M3" s="71" t="s">
        <v>81</v>
      </c>
      <c r="N3" s="67" t="s">
        <v>82</v>
      </c>
      <c r="O3" s="68" t="s">
        <v>83</v>
      </c>
      <c r="P3" s="72"/>
      <c r="Q3" s="73" t="s">
        <v>84</v>
      </c>
      <c r="R3" s="74" t="s">
        <v>84</v>
      </c>
      <c r="S3" s="75" t="s">
        <v>85</v>
      </c>
      <c r="T3" s="75" t="s">
        <v>85</v>
      </c>
      <c r="U3" s="75" t="s">
        <v>86</v>
      </c>
      <c r="V3" s="75" t="s">
        <v>87</v>
      </c>
      <c r="W3" s="75" t="s">
        <v>88</v>
      </c>
      <c r="X3" s="75" t="s">
        <v>89</v>
      </c>
      <c r="Y3" s="75" t="s">
        <v>90</v>
      </c>
      <c r="Z3" s="75" t="s">
        <v>91</v>
      </c>
      <c r="AA3" s="75" t="s">
        <v>92</v>
      </c>
      <c r="AB3" s="75" t="s">
        <v>93</v>
      </c>
      <c r="AC3" s="76" t="s">
        <v>94</v>
      </c>
      <c r="AD3" s="74" t="s">
        <v>86</v>
      </c>
      <c r="AE3" s="75" t="s">
        <v>87</v>
      </c>
      <c r="AF3" s="75" t="s">
        <v>88</v>
      </c>
      <c r="AG3" s="75" t="s">
        <v>89</v>
      </c>
      <c r="AH3" s="75" t="s">
        <v>90</v>
      </c>
      <c r="AI3" s="75" t="s">
        <v>91</v>
      </c>
      <c r="AJ3" s="75" t="s">
        <v>92</v>
      </c>
      <c r="AK3" s="75" t="s">
        <v>93</v>
      </c>
      <c r="AL3" s="75" t="s">
        <v>94</v>
      </c>
      <c r="AM3" s="75" t="s">
        <v>95</v>
      </c>
      <c r="AN3" s="75" t="s">
        <v>96</v>
      </c>
      <c r="AO3" s="75"/>
      <c r="AP3" s="76"/>
      <c r="AQ3" s="74" t="s">
        <v>84</v>
      </c>
      <c r="AR3" s="77" t="s">
        <v>78</v>
      </c>
      <c r="AS3" s="67" t="s">
        <v>79</v>
      </c>
      <c r="AT3" s="68" t="s">
        <v>80</v>
      </c>
      <c r="AU3" s="70"/>
      <c r="AV3" s="78"/>
      <c r="AW3" s="14" t="e">
        <f>AQ3-'Estacas Hurd'!AQ3</f>
        <v>#VALUE!</v>
      </c>
      <c r="AX3" s="79"/>
    </row>
    <row r="4" spans="1:50" x14ac:dyDescent="0.6">
      <c r="A4" s="69"/>
      <c r="B4" s="61"/>
      <c r="D4" s="69"/>
      <c r="E4" s="61"/>
      <c r="G4" s="235"/>
      <c r="H4" s="68"/>
      <c r="I4" s="81"/>
      <c r="J4" s="68"/>
      <c r="K4" s="69"/>
      <c r="L4" s="82"/>
      <c r="M4" s="70"/>
      <c r="N4" s="70"/>
      <c r="O4" s="70"/>
      <c r="P4" s="199"/>
      <c r="Q4" s="73"/>
      <c r="R4" s="74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4"/>
      <c r="AR4" s="82"/>
      <c r="AS4" s="75"/>
      <c r="AT4" s="75"/>
      <c r="AU4" s="70"/>
      <c r="AV4" s="78"/>
      <c r="AW4" s="19"/>
      <c r="AX4" s="79"/>
    </row>
    <row r="5" spans="1:50" x14ac:dyDescent="0.6">
      <c r="A5" s="69" t="s">
        <v>97</v>
      </c>
      <c r="B5" s="85"/>
      <c r="D5" s="84" t="s">
        <v>237</v>
      </c>
      <c r="E5" s="84"/>
      <c r="G5" s="236"/>
      <c r="H5" s="229"/>
      <c r="I5" s="206"/>
      <c r="J5" s="206"/>
      <c r="K5" s="207"/>
      <c r="L5" s="206"/>
      <c r="M5" s="208"/>
      <c r="N5" s="208"/>
      <c r="O5" s="208"/>
      <c r="P5" s="202"/>
      <c r="Q5" s="73"/>
      <c r="R5" s="74"/>
      <c r="S5" s="88">
        <v>90</v>
      </c>
      <c r="T5" s="79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 t="e">
        <f t="shared" ref="AM5:AM10" si="0">AVERAGE(U5:AC5)</f>
        <v>#DIV/0!</v>
      </c>
      <c r="AN5" s="89">
        <v>3.67</v>
      </c>
      <c r="AO5" s="127"/>
      <c r="AP5" s="76"/>
      <c r="AQ5" s="74">
        <f t="shared" ref="AQ5:AQ10" si="1">AN5-(AN5-Q5)*(SIN((S5+AX5)*PI()/180))/(COS(AX5*PI()/180))</f>
        <v>0</v>
      </c>
      <c r="AR5" s="91">
        <f t="shared" ref="AR5:AR10" si="2">H5+($M$1-M5)-(AN5-Q5)*(COS(S5*PI()/180))*(SIN((T5+13+2.3)*PI()/180))</f>
        <v>633905.21799999999</v>
      </c>
      <c r="AS5" s="82">
        <f t="shared" ref="AS5:AS10" si="3">I5+($N$1-N5)-(AN5-Q5)*(COS(S5*PI()/180))*(COS((T5+13+2.3)*PI()/180))</f>
        <v>3049240.4240000001</v>
      </c>
      <c r="AT5" s="82">
        <f t="shared" ref="AT5:AT10" si="4">J5+($O$1-O5)-R5+AN5-(AN5-Q5)*(SIN(S5*PI()/180))-L5</f>
        <v>56.365000000000002</v>
      </c>
      <c r="AU5" s="70"/>
      <c r="AV5" s="92"/>
      <c r="AW5" s="128">
        <f>AQ5-'Estacas Hurd'!AQ5</f>
        <v>-0.10999999999999988</v>
      </c>
      <c r="AX5" s="79"/>
    </row>
    <row r="6" spans="1:50" x14ac:dyDescent="0.6">
      <c r="A6" s="69" t="s">
        <v>98</v>
      </c>
      <c r="B6" s="85"/>
      <c r="D6" s="84" t="s">
        <v>237</v>
      </c>
      <c r="E6" s="84"/>
      <c r="G6" s="236"/>
      <c r="H6" s="229"/>
      <c r="I6" s="206"/>
      <c r="J6" s="206"/>
      <c r="K6" s="207"/>
      <c r="L6" s="206"/>
      <c r="M6" s="208"/>
      <c r="N6" s="208"/>
      <c r="O6" s="208"/>
      <c r="P6" s="202"/>
      <c r="Q6" s="73"/>
      <c r="R6" s="74"/>
      <c r="S6" s="88">
        <v>90</v>
      </c>
      <c r="T6" s="79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 t="e">
        <f t="shared" si="0"/>
        <v>#DIV/0!</v>
      </c>
      <c r="AN6" s="89">
        <v>3.67</v>
      </c>
      <c r="AO6" s="127"/>
      <c r="AP6" s="76"/>
      <c r="AQ6" s="74">
        <f t="shared" si="1"/>
        <v>0</v>
      </c>
      <c r="AR6" s="91">
        <f t="shared" si="2"/>
        <v>633905.21799999999</v>
      </c>
      <c r="AS6" s="82">
        <f t="shared" si="3"/>
        <v>3049240.4240000001</v>
      </c>
      <c r="AT6" s="82">
        <f t="shared" si="4"/>
        <v>56.365000000000002</v>
      </c>
      <c r="AU6" s="70"/>
      <c r="AV6" s="92"/>
      <c r="AW6" s="128">
        <f>AQ6-'Estacas Hurd'!AQ6</f>
        <v>-0.31000000000000005</v>
      </c>
      <c r="AX6" s="79"/>
    </row>
    <row r="7" spans="1:50" x14ac:dyDescent="0.6">
      <c r="A7" s="69" t="s">
        <v>99</v>
      </c>
      <c r="B7" s="84"/>
      <c r="C7" s="129"/>
      <c r="D7" s="84" t="s">
        <v>237</v>
      </c>
      <c r="E7" s="61"/>
      <c r="G7" s="236"/>
      <c r="H7" s="229"/>
      <c r="I7" s="206"/>
      <c r="J7" s="206"/>
      <c r="K7" s="208"/>
      <c r="L7" s="206"/>
      <c r="M7" s="269"/>
      <c r="N7" s="269"/>
      <c r="O7" s="269"/>
      <c r="P7" s="203"/>
      <c r="Q7" s="73"/>
      <c r="R7" s="74"/>
      <c r="S7" s="220">
        <v>90</v>
      </c>
      <c r="T7" s="79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 t="e">
        <f t="shared" si="0"/>
        <v>#DIV/0!</v>
      </c>
      <c r="AN7" s="89">
        <v>3.67</v>
      </c>
      <c r="AO7" s="75"/>
      <c r="AP7" s="76"/>
      <c r="AQ7" s="74">
        <f t="shared" si="1"/>
        <v>0</v>
      </c>
      <c r="AR7" s="91">
        <f t="shared" si="2"/>
        <v>633905.21799999999</v>
      </c>
      <c r="AS7" s="82">
        <f t="shared" si="3"/>
        <v>3049240.4240000001</v>
      </c>
      <c r="AT7" s="82">
        <f t="shared" si="4"/>
        <v>56.365000000000002</v>
      </c>
      <c r="AU7" s="70"/>
      <c r="AV7" s="92"/>
      <c r="AW7" s="128">
        <f>AQ7-'Estacas Hurd'!AQ7</f>
        <v>-2.9999999999999805E-2</v>
      </c>
      <c r="AX7" s="79"/>
    </row>
    <row r="8" spans="1:50" x14ac:dyDescent="0.6">
      <c r="A8" s="69" t="s">
        <v>100</v>
      </c>
      <c r="B8" s="85"/>
      <c r="D8" s="84" t="s">
        <v>237</v>
      </c>
      <c r="E8" s="85"/>
      <c r="G8" s="236"/>
      <c r="H8" s="229"/>
      <c r="I8" s="206"/>
      <c r="J8" s="206"/>
      <c r="K8" s="207"/>
      <c r="L8" s="206"/>
      <c r="M8" s="209"/>
      <c r="N8" s="209"/>
      <c r="O8" s="209"/>
      <c r="P8" s="202"/>
      <c r="Q8" s="73"/>
      <c r="R8" s="74"/>
      <c r="S8" s="220">
        <v>90</v>
      </c>
      <c r="T8" s="79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 t="e">
        <f t="shared" si="0"/>
        <v>#DIV/0!</v>
      </c>
      <c r="AN8" s="89">
        <v>3.67</v>
      </c>
      <c r="AO8" s="127"/>
      <c r="AP8" s="76"/>
      <c r="AQ8" s="74">
        <f t="shared" si="1"/>
        <v>0</v>
      </c>
      <c r="AR8" s="91">
        <f t="shared" si="2"/>
        <v>633905.21799999999</v>
      </c>
      <c r="AS8" s="82">
        <f t="shared" si="3"/>
        <v>3049240.4240000001</v>
      </c>
      <c r="AT8" s="82">
        <f t="shared" si="4"/>
        <v>56.365000000000002</v>
      </c>
      <c r="AU8" s="70"/>
      <c r="AV8" s="92"/>
      <c r="AW8" s="128">
        <f>AQ8-'Estacas Hurd'!AQ8</f>
        <v>-0.29999999999999982</v>
      </c>
      <c r="AX8" s="79"/>
    </row>
    <row r="9" spans="1:50" x14ac:dyDescent="0.6">
      <c r="A9" s="69" t="s">
        <v>101</v>
      </c>
      <c r="B9" s="85"/>
      <c r="D9" s="84" t="s">
        <v>237</v>
      </c>
      <c r="E9" s="85"/>
      <c r="G9" s="236"/>
      <c r="H9" s="229"/>
      <c r="I9" s="206"/>
      <c r="J9" s="206"/>
      <c r="K9" s="207"/>
      <c r="L9" s="206"/>
      <c r="M9" s="209"/>
      <c r="N9" s="209"/>
      <c r="O9" s="209"/>
      <c r="P9" s="202"/>
      <c r="Q9" s="73"/>
      <c r="R9" s="74"/>
      <c r="S9" s="220">
        <v>90</v>
      </c>
      <c r="T9" s="79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 t="e">
        <f t="shared" si="0"/>
        <v>#DIV/0!</v>
      </c>
      <c r="AN9" s="89">
        <v>3.67</v>
      </c>
      <c r="AO9" s="127"/>
      <c r="AP9" s="76"/>
      <c r="AQ9" s="74">
        <f t="shared" si="1"/>
        <v>0</v>
      </c>
      <c r="AR9" s="91">
        <f t="shared" si="2"/>
        <v>633905.21799999999</v>
      </c>
      <c r="AS9" s="82">
        <f t="shared" si="3"/>
        <v>3049240.4240000001</v>
      </c>
      <c r="AT9" s="82">
        <f t="shared" si="4"/>
        <v>56.365000000000002</v>
      </c>
      <c r="AU9" s="70"/>
      <c r="AV9" s="92"/>
      <c r="AW9" s="128">
        <f>AQ9-'Estacas Hurd'!AQ9</f>
        <v>-1.0300000000000002</v>
      </c>
      <c r="AX9" s="79"/>
    </row>
    <row r="10" spans="1:50" x14ac:dyDescent="0.6">
      <c r="A10" s="69" t="s">
        <v>102</v>
      </c>
      <c r="B10" s="84"/>
      <c r="D10" s="84" t="s">
        <v>237</v>
      </c>
      <c r="E10" s="85"/>
      <c r="G10" s="236"/>
      <c r="H10" s="229"/>
      <c r="I10" s="206"/>
      <c r="J10" s="206"/>
      <c r="K10" s="207"/>
      <c r="L10" s="206"/>
      <c r="M10" s="269"/>
      <c r="N10" s="269"/>
      <c r="O10" s="269"/>
      <c r="P10" s="202"/>
      <c r="Q10" s="73"/>
      <c r="R10" s="74"/>
      <c r="S10" s="220">
        <v>90</v>
      </c>
      <c r="T10" s="79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 t="e">
        <f t="shared" si="0"/>
        <v>#DIV/0!</v>
      </c>
      <c r="AN10" s="89">
        <v>3.67</v>
      </c>
      <c r="AO10" s="127"/>
      <c r="AP10" s="76"/>
      <c r="AQ10" s="74">
        <f t="shared" si="1"/>
        <v>0</v>
      </c>
      <c r="AR10" s="91">
        <f t="shared" si="2"/>
        <v>633905.21799999999</v>
      </c>
      <c r="AS10" s="82">
        <f t="shared" si="3"/>
        <v>3049240.4240000001</v>
      </c>
      <c r="AT10" s="82">
        <f t="shared" si="4"/>
        <v>56.365000000000002</v>
      </c>
      <c r="AU10" s="70"/>
      <c r="AV10" s="92"/>
      <c r="AW10" s="128">
        <f>AQ10-'Estacas Hurd'!AQ10</f>
        <v>-0.14000000000000012</v>
      </c>
      <c r="AX10" s="79"/>
    </row>
    <row r="11" spans="1:50" x14ac:dyDescent="0.6">
      <c r="A11" s="93" t="s">
        <v>103</v>
      </c>
      <c r="B11" s="94"/>
      <c r="C11" s="95"/>
      <c r="D11" s="93"/>
      <c r="E11" s="94"/>
      <c r="F11" s="95"/>
      <c r="G11" s="237"/>
      <c r="H11" s="230"/>
      <c r="I11" s="210"/>
      <c r="J11" s="210"/>
      <c r="K11" s="211"/>
      <c r="L11" s="210"/>
      <c r="M11" s="212"/>
      <c r="N11" s="212"/>
      <c r="O11" s="212"/>
      <c r="P11" s="204"/>
      <c r="Q11" s="98"/>
      <c r="R11" s="99"/>
      <c r="S11" s="100"/>
      <c r="T11" s="100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2"/>
      <c r="AO11" s="101"/>
      <c r="AP11" s="103"/>
      <c r="AQ11" s="99"/>
      <c r="AR11" s="132"/>
      <c r="AS11" s="96"/>
      <c r="AT11" s="96"/>
      <c r="AU11" s="97"/>
      <c r="AV11" s="104"/>
      <c r="AW11" s="133"/>
      <c r="AX11" s="100"/>
    </row>
    <row r="12" spans="1:50" x14ac:dyDescent="0.6">
      <c r="A12" s="105" t="s">
        <v>104</v>
      </c>
      <c r="B12" s="106"/>
      <c r="C12" s="107"/>
      <c r="D12" s="105"/>
      <c r="E12" s="106"/>
      <c r="F12" s="107"/>
      <c r="G12" s="238"/>
      <c r="H12" s="231"/>
      <c r="I12" s="213"/>
      <c r="J12" s="213"/>
      <c r="K12" s="214"/>
      <c r="L12" s="213"/>
      <c r="M12" s="215"/>
      <c r="N12" s="215"/>
      <c r="O12" s="215"/>
      <c r="P12" s="205"/>
      <c r="Q12" s="114"/>
      <c r="R12" s="109"/>
      <c r="S12" s="115"/>
      <c r="T12" s="115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6"/>
      <c r="AO12" s="110"/>
      <c r="AP12" s="118"/>
      <c r="AQ12" s="109"/>
      <c r="AR12" s="135"/>
      <c r="AS12" s="111"/>
      <c r="AT12" s="111"/>
      <c r="AU12" s="112"/>
      <c r="AV12" s="119"/>
      <c r="AW12" s="136"/>
      <c r="AX12" s="115"/>
    </row>
    <row r="13" spans="1:50" x14ac:dyDescent="0.6">
      <c r="A13" s="105" t="s">
        <v>105</v>
      </c>
      <c r="B13" s="106"/>
      <c r="C13" s="107"/>
      <c r="D13" s="105"/>
      <c r="E13" s="106"/>
      <c r="F13" s="107"/>
      <c r="G13" s="238"/>
      <c r="H13" s="231"/>
      <c r="I13" s="213"/>
      <c r="J13" s="213"/>
      <c r="K13" s="214"/>
      <c r="L13" s="213"/>
      <c r="M13" s="215"/>
      <c r="N13" s="215"/>
      <c r="O13" s="215"/>
      <c r="P13" s="205"/>
      <c r="Q13" s="114"/>
      <c r="R13" s="109"/>
      <c r="S13" s="115"/>
      <c r="T13" s="115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6"/>
      <c r="AO13" s="110"/>
      <c r="AP13" s="118"/>
      <c r="AQ13" s="109"/>
      <c r="AR13" s="135"/>
      <c r="AS13" s="111"/>
      <c r="AT13" s="111"/>
      <c r="AU13" s="112"/>
      <c r="AV13" s="119"/>
      <c r="AW13" s="136"/>
      <c r="AX13" s="115"/>
    </row>
    <row r="14" spans="1:50" x14ac:dyDescent="0.6">
      <c r="A14" s="69" t="s">
        <v>106</v>
      </c>
      <c r="B14" s="85"/>
      <c r="D14" s="84" t="s">
        <v>237</v>
      </c>
      <c r="E14" s="84"/>
      <c r="F14" s="201"/>
      <c r="G14" s="236"/>
      <c r="H14" s="229"/>
      <c r="I14" s="206"/>
      <c r="J14" s="206"/>
      <c r="K14" s="207"/>
      <c r="L14" s="206"/>
      <c r="M14" s="208"/>
      <c r="N14" s="208"/>
      <c r="O14" s="208"/>
      <c r="P14" s="202"/>
      <c r="Q14" s="73"/>
      <c r="R14" s="74"/>
      <c r="S14" s="88">
        <v>90</v>
      </c>
      <c r="T14" s="79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 t="e">
        <f>AVERAGE(U14:AC14)</f>
        <v>#DIV/0!</v>
      </c>
      <c r="AN14" s="89">
        <v>3.67</v>
      </c>
      <c r="AO14" s="127"/>
      <c r="AP14" s="76"/>
      <c r="AQ14" s="74">
        <f>AN14-(AN14-Q14)*(SIN((S14+AX14)*PI()/180))/(COS(AX14*PI()/180))</f>
        <v>0</v>
      </c>
      <c r="AR14" s="91">
        <f>H14+($M$1-M14)-(AN14-Q14)*(COS(S14*PI()/180))*(SIN((T14+13+2.3)*PI()/180))</f>
        <v>633905.21799999999</v>
      </c>
      <c r="AS14" s="82">
        <f>I14+($N$1-N14)-(AN14-Q14)*(COS(S14*PI()/180))*(COS((T14+13+2.3)*PI()/180))</f>
        <v>3049240.4240000001</v>
      </c>
      <c r="AT14" s="82">
        <f>J14+($O$1-O14)-R14+AN14-(AN14-Q14)*(SIN(S14*PI()/180))-L14</f>
        <v>56.365000000000002</v>
      </c>
      <c r="AU14" s="70"/>
      <c r="AV14" s="92"/>
      <c r="AW14" s="128">
        <f>AQ14-'Estacas Hurd'!AQ14</f>
        <v>-9.9999999999997868E-3</v>
      </c>
      <c r="AX14" s="79"/>
    </row>
    <row r="15" spans="1:50" x14ac:dyDescent="0.6">
      <c r="A15" s="69" t="s">
        <v>107</v>
      </c>
      <c r="B15" s="85"/>
      <c r="D15" s="84" t="s">
        <v>237</v>
      </c>
      <c r="E15" s="85"/>
      <c r="G15" s="236"/>
      <c r="H15" s="229"/>
      <c r="I15" s="206"/>
      <c r="J15" s="206"/>
      <c r="K15" s="207"/>
      <c r="L15" s="206"/>
      <c r="M15" s="209"/>
      <c r="N15" s="209"/>
      <c r="O15" s="209"/>
      <c r="P15" s="202"/>
      <c r="Q15" s="73"/>
      <c r="R15" s="74"/>
      <c r="S15" s="220">
        <v>90</v>
      </c>
      <c r="T15" s="79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 t="e">
        <f>AVERAGE(U15:AC15)</f>
        <v>#DIV/0!</v>
      </c>
      <c r="AN15" s="89">
        <v>3.67</v>
      </c>
      <c r="AO15" s="127"/>
      <c r="AP15" s="76"/>
      <c r="AQ15" s="74">
        <f>AN15-(AN15-Q15)*(SIN((S15+AX15)*PI()/180))/(COS(AX15*PI()/180))</f>
        <v>0</v>
      </c>
      <c r="AR15" s="91">
        <f>H15+($M$1-M15)-(AN15-Q15)*(COS(S15*PI()/180))*(SIN((T15+13+2.3)*PI()/180))</f>
        <v>633905.21799999999</v>
      </c>
      <c r="AS15" s="82">
        <f>I15+($N$1-N15)-(AN15-Q15)*(COS(S15*PI()/180))*(COS((T15+13+2.3)*PI()/180))</f>
        <v>3049240.4240000001</v>
      </c>
      <c r="AT15" s="82">
        <f>J15+($O$1-O15)-R15+AN15-(AN15-Q15)*(SIN(S15*PI()/180))-L15</f>
        <v>56.365000000000002</v>
      </c>
      <c r="AU15" s="70"/>
      <c r="AV15" s="92"/>
      <c r="AW15" s="128">
        <f>AQ15-'Estacas Hurd'!AQ15</f>
        <v>-1.29</v>
      </c>
      <c r="AX15" s="79"/>
    </row>
    <row r="16" spans="1:50" x14ac:dyDescent="0.6">
      <c r="A16" s="93" t="s">
        <v>108</v>
      </c>
      <c r="B16" s="94"/>
      <c r="C16" s="95"/>
      <c r="D16" s="93"/>
      <c r="E16" s="94"/>
      <c r="F16" s="95"/>
      <c r="G16" s="237"/>
      <c r="H16" s="230"/>
      <c r="I16" s="210"/>
      <c r="J16" s="210"/>
      <c r="K16" s="211"/>
      <c r="L16" s="210"/>
      <c r="M16" s="212"/>
      <c r="N16" s="212"/>
      <c r="O16" s="212"/>
      <c r="P16" s="204"/>
      <c r="Q16" s="98"/>
      <c r="R16" s="99"/>
      <c r="S16" s="100"/>
      <c r="T16" s="100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2"/>
      <c r="AO16" s="101"/>
      <c r="AP16" s="103"/>
      <c r="AQ16" s="99"/>
      <c r="AR16" s="132"/>
      <c r="AS16" s="96"/>
      <c r="AT16" s="96"/>
      <c r="AU16" s="97"/>
      <c r="AV16" s="104"/>
      <c r="AW16" s="133">
        <f>AQ16-'Estacas Hurd'!AQ16</f>
        <v>0</v>
      </c>
      <c r="AX16" s="100"/>
    </row>
    <row r="17" spans="1:50" x14ac:dyDescent="0.6">
      <c r="A17" s="93" t="s">
        <v>109</v>
      </c>
      <c r="B17" s="94"/>
      <c r="C17" s="95"/>
      <c r="D17" s="93"/>
      <c r="E17" s="94"/>
      <c r="F17" s="95"/>
      <c r="G17" s="237"/>
      <c r="H17" s="230"/>
      <c r="I17" s="210"/>
      <c r="J17" s="210"/>
      <c r="K17" s="211"/>
      <c r="L17" s="210"/>
      <c r="M17" s="212"/>
      <c r="N17" s="212"/>
      <c r="O17" s="212"/>
      <c r="P17" s="204"/>
      <c r="Q17" s="98"/>
      <c r="R17" s="99"/>
      <c r="S17" s="100"/>
      <c r="T17" s="100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2"/>
      <c r="AO17" s="101"/>
      <c r="AP17" s="103"/>
      <c r="AQ17" s="99"/>
      <c r="AR17" s="132"/>
      <c r="AS17" s="96"/>
      <c r="AT17" s="96"/>
      <c r="AU17" s="97"/>
      <c r="AV17" s="104"/>
      <c r="AW17" s="133"/>
      <c r="AX17" s="100"/>
    </row>
    <row r="18" spans="1:50" x14ac:dyDescent="0.6">
      <c r="A18" s="93" t="s">
        <v>110</v>
      </c>
      <c r="B18" s="94"/>
      <c r="C18" s="95"/>
      <c r="D18" s="93"/>
      <c r="E18" s="94"/>
      <c r="F18" s="95"/>
      <c r="G18" s="237"/>
      <c r="H18" s="230"/>
      <c r="I18" s="210"/>
      <c r="J18" s="210"/>
      <c r="K18" s="211"/>
      <c r="L18" s="210"/>
      <c r="M18" s="212"/>
      <c r="N18" s="212"/>
      <c r="O18" s="212"/>
      <c r="P18" s="204"/>
      <c r="Q18" s="98"/>
      <c r="R18" s="99"/>
      <c r="S18" s="100"/>
      <c r="T18" s="100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2"/>
      <c r="AO18" s="101"/>
      <c r="AP18" s="103"/>
      <c r="AQ18" s="99"/>
      <c r="AR18" s="132"/>
      <c r="AS18" s="96"/>
      <c r="AT18" s="96"/>
      <c r="AU18" s="97"/>
      <c r="AV18" s="104"/>
      <c r="AW18" s="133"/>
      <c r="AX18" s="100"/>
    </row>
    <row r="19" spans="1:50" x14ac:dyDescent="0.6">
      <c r="A19" s="105" t="s">
        <v>111</v>
      </c>
      <c r="B19" s="106"/>
      <c r="C19" s="107"/>
      <c r="D19" s="105"/>
      <c r="E19" s="106"/>
      <c r="F19" s="107"/>
      <c r="G19" s="238"/>
      <c r="H19" s="231"/>
      <c r="I19" s="213"/>
      <c r="J19" s="213"/>
      <c r="K19" s="214"/>
      <c r="L19" s="213"/>
      <c r="M19" s="215"/>
      <c r="N19" s="215"/>
      <c r="O19" s="215"/>
      <c r="P19" s="205"/>
      <c r="Q19" s="114"/>
      <c r="R19" s="109"/>
      <c r="S19" s="115"/>
      <c r="T19" s="115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6"/>
      <c r="AO19" s="110"/>
      <c r="AP19" s="118"/>
      <c r="AQ19" s="109"/>
      <c r="AR19" s="135"/>
      <c r="AS19" s="111"/>
      <c r="AT19" s="111"/>
      <c r="AU19" s="112"/>
      <c r="AV19" s="119"/>
      <c r="AW19" s="136"/>
      <c r="AX19" s="115"/>
    </row>
    <row r="20" spans="1:50" x14ac:dyDescent="0.6">
      <c r="A20" s="105" t="s">
        <v>112</v>
      </c>
      <c r="B20" s="106"/>
      <c r="C20" s="107"/>
      <c r="D20" s="105"/>
      <c r="E20" s="106"/>
      <c r="F20" s="107"/>
      <c r="G20" s="238"/>
      <c r="H20" s="231"/>
      <c r="I20" s="213"/>
      <c r="J20" s="213"/>
      <c r="K20" s="214"/>
      <c r="L20" s="213"/>
      <c r="M20" s="215"/>
      <c r="N20" s="215"/>
      <c r="O20" s="215"/>
      <c r="P20" s="205"/>
      <c r="Q20" s="114"/>
      <c r="R20" s="109"/>
      <c r="S20" s="115"/>
      <c r="T20" s="115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6"/>
      <c r="AO20" s="110"/>
      <c r="AP20" s="118"/>
      <c r="AQ20" s="109"/>
      <c r="AR20" s="135"/>
      <c r="AS20" s="111"/>
      <c r="AT20" s="111"/>
      <c r="AU20" s="112"/>
      <c r="AV20" s="119"/>
      <c r="AW20" s="136"/>
      <c r="AX20" s="115"/>
    </row>
    <row r="21" spans="1:50" x14ac:dyDescent="0.6">
      <c r="A21" s="105" t="s">
        <v>113</v>
      </c>
      <c r="B21" s="106"/>
      <c r="C21" s="107"/>
      <c r="D21" s="105"/>
      <c r="E21" s="106"/>
      <c r="F21" s="107"/>
      <c r="G21" s="238"/>
      <c r="H21" s="231"/>
      <c r="I21" s="213"/>
      <c r="J21" s="213"/>
      <c r="K21" s="214"/>
      <c r="L21" s="213"/>
      <c r="M21" s="215"/>
      <c r="N21" s="215"/>
      <c r="O21" s="215"/>
      <c r="P21" s="205"/>
      <c r="Q21" s="114"/>
      <c r="R21" s="109"/>
      <c r="S21" s="115"/>
      <c r="T21" s="115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6"/>
      <c r="AO21" s="110"/>
      <c r="AP21" s="118"/>
      <c r="AQ21" s="109"/>
      <c r="AR21" s="135"/>
      <c r="AS21" s="111"/>
      <c r="AT21" s="111"/>
      <c r="AU21" s="112"/>
      <c r="AV21" s="119"/>
      <c r="AW21" s="136"/>
      <c r="AX21" s="115"/>
    </row>
    <row r="22" spans="1:50" x14ac:dyDescent="0.6">
      <c r="A22" s="105" t="s">
        <v>114</v>
      </c>
      <c r="B22" s="106"/>
      <c r="C22" s="107"/>
      <c r="D22" s="105"/>
      <c r="E22" s="106"/>
      <c r="F22" s="107"/>
      <c r="G22" s="238"/>
      <c r="H22" s="231"/>
      <c r="I22" s="213"/>
      <c r="J22" s="213"/>
      <c r="K22" s="214"/>
      <c r="L22" s="213"/>
      <c r="M22" s="215"/>
      <c r="N22" s="215"/>
      <c r="O22" s="215"/>
      <c r="P22" s="205"/>
      <c r="Q22" s="114"/>
      <c r="R22" s="109"/>
      <c r="S22" s="115"/>
      <c r="T22" s="115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6"/>
      <c r="AO22" s="110"/>
      <c r="AP22" s="118"/>
      <c r="AQ22" s="109"/>
      <c r="AR22" s="135"/>
      <c r="AS22" s="111"/>
      <c r="AT22" s="111"/>
      <c r="AU22" s="112"/>
      <c r="AV22" s="119"/>
      <c r="AW22" s="136"/>
      <c r="AX22" s="115"/>
    </row>
    <row r="23" spans="1:50" x14ac:dyDescent="0.6">
      <c r="A23" s="105" t="s">
        <v>115</v>
      </c>
      <c r="B23" s="106"/>
      <c r="C23" s="107"/>
      <c r="D23" s="105"/>
      <c r="E23" s="106"/>
      <c r="F23" s="107"/>
      <c r="G23" s="238"/>
      <c r="H23" s="231"/>
      <c r="I23" s="213"/>
      <c r="J23" s="213"/>
      <c r="K23" s="214"/>
      <c r="L23" s="213"/>
      <c r="M23" s="215"/>
      <c r="N23" s="215"/>
      <c r="O23" s="215"/>
      <c r="P23" s="205"/>
      <c r="Q23" s="114"/>
      <c r="R23" s="109"/>
      <c r="S23" s="115"/>
      <c r="T23" s="115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6"/>
      <c r="AO23" s="110"/>
      <c r="AP23" s="118"/>
      <c r="AQ23" s="109"/>
      <c r="AR23" s="135"/>
      <c r="AS23" s="111"/>
      <c r="AT23" s="111"/>
      <c r="AU23" s="112"/>
      <c r="AV23" s="119"/>
      <c r="AW23" s="136"/>
      <c r="AX23" s="115"/>
    </row>
    <row r="24" spans="1:50" x14ac:dyDescent="0.6">
      <c r="A24" s="69" t="s">
        <v>116</v>
      </c>
      <c r="B24" s="84"/>
      <c r="D24" s="84" t="s">
        <v>237</v>
      </c>
      <c r="E24" s="85"/>
      <c r="G24" s="236"/>
      <c r="H24" s="229"/>
      <c r="I24" s="206"/>
      <c r="J24" s="206"/>
      <c r="K24" s="207"/>
      <c r="L24" s="206"/>
      <c r="M24" s="269"/>
      <c r="N24" s="269"/>
      <c r="O24" s="269"/>
      <c r="P24" s="202"/>
      <c r="Q24" s="73"/>
      <c r="R24" s="74"/>
      <c r="S24" s="220">
        <v>90</v>
      </c>
      <c r="T24" s="79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 t="e">
        <f>AVERAGE(U24:AC24)</f>
        <v>#DIV/0!</v>
      </c>
      <c r="AN24" s="89">
        <v>3.67</v>
      </c>
      <c r="AO24" s="127"/>
      <c r="AP24" s="76"/>
      <c r="AQ24" s="74">
        <f>AN24-(AN24-Q24)*(SIN((S24+AX24)*PI()/180))/(COS(AX24*PI()/180))</f>
        <v>0</v>
      </c>
      <c r="AR24" s="91">
        <f>H24+($M$1-M24)-(AN24-Q24)*(COS(S24*PI()/180))*(SIN((T24+13+2.3)*PI()/180))</f>
        <v>633905.21799999999</v>
      </c>
      <c r="AS24" s="82">
        <f>I24+($N$1-N24)-(AN24-Q24)*(COS(S24*PI()/180))*(COS((T24+13+2.3)*PI()/180))</f>
        <v>3049240.4240000001</v>
      </c>
      <c r="AT24" s="82">
        <f>J24+($O$1-O24)-R24+AN24-(AN24-Q24)*(SIN(S24*PI()/180))-L24</f>
        <v>56.365000000000002</v>
      </c>
      <c r="AU24" s="70"/>
      <c r="AV24" s="92"/>
      <c r="AW24" s="128">
        <f>AQ24-'Estacas Hurd'!AQ24</f>
        <v>-0.20000000000000018</v>
      </c>
      <c r="AX24" s="79"/>
    </row>
    <row r="25" spans="1:50" x14ac:dyDescent="0.6">
      <c r="A25" s="105" t="s">
        <v>117</v>
      </c>
      <c r="B25" s="106"/>
      <c r="C25" s="107"/>
      <c r="D25" s="105"/>
      <c r="E25" s="106"/>
      <c r="F25" s="107"/>
      <c r="G25" s="238"/>
      <c r="H25" s="231"/>
      <c r="I25" s="213"/>
      <c r="J25" s="213"/>
      <c r="K25" s="214"/>
      <c r="L25" s="213"/>
      <c r="M25" s="215"/>
      <c r="N25" s="215"/>
      <c r="O25" s="215"/>
      <c r="P25" s="205"/>
      <c r="Q25" s="114"/>
      <c r="R25" s="109"/>
      <c r="S25" s="115"/>
      <c r="T25" s="115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6"/>
      <c r="AO25" s="110"/>
      <c r="AP25" s="118"/>
      <c r="AQ25" s="109"/>
      <c r="AR25" s="135"/>
      <c r="AS25" s="111"/>
      <c r="AT25" s="111"/>
      <c r="AU25" s="112"/>
      <c r="AV25" s="119"/>
      <c r="AW25" s="136"/>
      <c r="AX25" s="115"/>
    </row>
    <row r="26" spans="1:50" x14ac:dyDescent="0.6">
      <c r="A26" s="69" t="s">
        <v>118</v>
      </c>
      <c r="B26" s="85"/>
      <c r="D26" s="84" t="s">
        <v>237</v>
      </c>
      <c r="E26" s="85"/>
      <c r="G26" s="236"/>
      <c r="H26" s="229"/>
      <c r="I26" s="206"/>
      <c r="J26" s="206"/>
      <c r="K26" s="207"/>
      <c r="L26" s="206"/>
      <c r="M26" s="209"/>
      <c r="N26" s="209"/>
      <c r="O26" s="209"/>
      <c r="P26" s="202"/>
      <c r="Q26" s="73"/>
      <c r="R26" s="74"/>
      <c r="S26" s="220">
        <v>90</v>
      </c>
      <c r="T26" s="79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 t="e">
        <f>AVERAGE(U26:AC26)</f>
        <v>#DIV/0!</v>
      </c>
      <c r="AN26" s="89">
        <v>3.67</v>
      </c>
      <c r="AO26" s="127"/>
      <c r="AP26" s="76"/>
      <c r="AQ26" s="74">
        <f>AN26-(AN26-Q26)*(SIN((S26+AX26)*PI()/180))/(COS(AX26*PI()/180))</f>
        <v>0</v>
      </c>
      <c r="AR26" s="91">
        <f>H26+($M$1-M26)-(AN26-Q26)*(COS(S26*PI()/180))*(SIN((T26+13+2.3)*PI()/180))</f>
        <v>633905.21799999999</v>
      </c>
      <c r="AS26" s="82">
        <f>I26+($N$1-N26)-(AN26-Q26)*(COS(S26*PI()/180))*(COS((T26+13+2.3)*PI()/180))</f>
        <v>3049240.4240000001</v>
      </c>
      <c r="AT26" s="82">
        <f>J26+($O$1-O26)-R26+AN26-(AN26-Q26)*(SIN(S26*PI()/180))-L26</f>
        <v>56.365000000000002</v>
      </c>
      <c r="AU26" s="70"/>
      <c r="AV26" s="92"/>
      <c r="AW26" s="128">
        <f>AQ26-'Estacas Hurd'!AQ26</f>
        <v>-0.45999999999999996</v>
      </c>
      <c r="AX26" s="79"/>
    </row>
    <row r="27" spans="1:50" x14ac:dyDescent="0.6">
      <c r="A27" s="69" t="s">
        <v>119</v>
      </c>
      <c r="B27" s="84"/>
      <c r="D27" s="84" t="s">
        <v>237</v>
      </c>
      <c r="E27" s="85"/>
      <c r="G27" s="236"/>
      <c r="H27" s="229"/>
      <c r="I27" s="206"/>
      <c r="J27" s="206"/>
      <c r="K27" s="207"/>
      <c r="L27" s="206"/>
      <c r="M27" s="269"/>
      <c r="N27" s="269"/>
      <c r="O27" s="269"/>
      <c r="P27" s="202"/>
      <c r="Q27" s="73"/>
      <c r="R27" s="74"/>
      <c r="S27" s="220">
        <v>90</v>
      </c>
      <c r="T27" s="79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 t="e">
        <f>AVERAGE(U27:AC27)</f>
        <v>#DIV/0!</v>
      </c>
      <c r="AN27" s="89">
        <v>3.67</v>
      </c>
      <c r="AO27" s="127"/>
      <c r="AP27" s="76"/>
      <c r="AQ27" s="74">
        <f>AN27-(AN27-Q27)*(SIN((S27+AX27)*PI()/180))/(COS(AX27*PI()/180))</f>
        <v>0</v>
      </c>
      <c r="AR27" s="91">
        <f>H27+($M$1-M27)-(AN27-Q27)*(COS(S27*PI()/180))*(SIN((T27+13+2.3)*PI()/180))</f>
        <v>633905.21799999999</v>
      </c>
      <c r="AS27" s="82">
        <f>I27+($N$1-N27)-(AN27-Q27)*(COS(S27*PI()/180))*(COS((T27+13+2.3)*PI()/180))</f>
        <v>3049240.4240000001</v>
      </c>
      <c r="AT27" s="82">
        <f>J27+($O$1-O27)-R27+AN27-(AN27-Q27)*(SIN(S27*PI()/180))-L27</f>
        <v>56.365000000000002</v>
      </c>
      <c r="AU27" s="70"/>
      <c r="AV27" s="92"/>
      <c r="AW27" s="128">
        <f>AQ27-'Estacas Hurd'!AQ27</f>
        <v>-0.27</v>
      </c>
      <c r="AX27" s="79"/>
    </row>
    <row r="28" spans="1:50" x14ac:dyDescent="0.6">
      <c r="A28" s="105" t="s">
        <v>120</v>
      </c>
      <c r="B28" s="106"/>
      <c r="C28" s="107"/>
      <c r="D28" s="105"/>
      <c r="E28" s="106"/>
      <c r="F28" s="107"/>
      <c r="G28" s="238"/>
      <c r="H28" s="231"/>
      <c r="I28" s="213"/>
      <c r="J28" s="213"/>
      <c r="K28" s="214"/>
      <c r="L28" s="213"/>
      <c r="M28" s="215"/>
      <c r="N28" s="215"/>
      <c r="O28" s="215"/>
      <c r="P28" s="205"/>
      <c r="Q28" s="114"/>
      <c r="R28" s="109"/>
      <c r="S28" s="115"/>
      <c r="T28" s="115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6"/>
      <c r="AO28" s="110"/>
      <c r="AP28" s="118"/>
      <c r="AQ28" s="109"/>
      <c r="AR28" s="135"/>
      <c r="AS28" s="111"/>
      <c r="AT28" s="111"/>
      <c r="AU28" s="112"/>
      <c r="AV28" s="119"/>
      <c r="AW28" s="136"/>
      <c r="AX28" s="115"/>
    </row>
    <row r="29" spans="1:50" x14ac:dyDescent="0.6">
      <c r="A29" s="69" t="s">
        <v>121</v>
      </c>
      <c r="B29" s="85"/>
      <c r="D29" s="84" t="s">
        <v>237</v>
      </c>
      <c r="E29" s="85"/>
      <c r="G29" s="236"/>
      <c r="H29" s="229"/>
      <c r="I29" s="206"/>
      <c r="J29" s="206"/>
      <c r="K29" s="207"/>
      <c r="L29" s="206"/>
      <c r="M29" s="209"/>
      <c r="N29" s="209"/>
      <c r="O29" s="209"/>
      <c r="P29" s="202"/>
      <c r="Q29" s="73"/>
      <c r="R29" s="74"/>
      <c r="S29" s="220">
        <v>90</v>
      </c>
      <c r="T29" s="79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 t="e">
        <f>AVERAGE(U29:AC29)</f>
        <v>#DIV/0!</v>
      </c>
      <c r="AN29" s="89">
        <v>3.67</v>
      </c>
      <c r="AO29" s="127"/>
      <c r="AP29" s="76"/>
      <c r="AQ29" s="74">
        <f>AN29-(AN29-Q29)*(SIN((S29+AX29)*PI()/180))/(COS(AX29*PI()/180))</f>
        <v>0</v>
      </c>
      <c r="AR29" s="91">
        <f>H29+($M$1-M29)-(AN29-Q29)*(COS(S29*PI()/180))*(SIN((T29+13+2.3)*PI()/180))</f>
        <v>633905.21799999999</v>
      </c>
      <c r="AS29" s="82">
        <f>I29+($N$1-N29)-(AN29-Q29)*(COS(S29*PI()/180))*(COS((T29+13+2.3)*PI()/180))</f>
        <v>3049240.4240000001</v>
      </c>
      <c r="AT29" s="82">
        <f>J29+($O$1-O29)-R29+AN29-(AN29-Q29)*(SIN(S29*PI()/180))-L29</f>
        <v>56.365000000000002</v>
      </c>
      <c r="AU29" s="70"/>
      <c r="AV29" s="92"/>
      <c r="AW29" s="128">
        <f>AQ29-'Estacas Hurd'!AQ29</f>
        <v>-0.60999999999999988</v>
      </c>
      <c r="AX29" s="79"/>
    </row>
    <row r="30" spans="1:50" x14ac:dyDescent="0.6">
      <c r="A30" s="69" t="s">
        <v>122</v>
      </c>
      <c r="B30" s="85"/>
      <c r="D30" s="84" t="s">
        <v>237</v>
      </c>
      <c r="E30" s="85"/>
      <c r="G30" s="236"/>
      <c r="H30" s="229"/>
      <c r="I30" s="229"/>
      <c r="J30" s="206"/>
      <c r="K30" s="207"/>
      <c r="L30" s="206"/>
      <c r="M30" s="209"/>
      <c r="N30" s="209"/>
      <c r="O30" s="209"/>
      <c r="P30" s="202"/>
      <c r="Q30" s="73"/>
      <c r="R30" s="74"/>
      <c r="S30" s="220">
        <v>90</v>
      </c>
      <c r="T30" s="79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 t="e">
        <f>AVERAGE(U30:AC30)</f>
        <v>#DIV/0!</v>
      </c>
      <c r="AN30" s="89">
        <v>3.67</v>
      </c>
      <c r="AO30" s="127"/>
      <c r="AP30" s="76"/>
      <c r="AQ30" s="74">
        <f>AN30-(AN30-Q30)*(SIN((S30+AX30)*PI()/180))/(COS(AX30*PI()/180))</f>
        <v>0</v>
      </c>
      <c r="AR30" s="91">
        <f>H30+($M$1-M30)-(AN30-Q30)*(COS(S30*PI()/180))*(SIN((T30+13+2.3)*PI()/180))</f>
        <v>633905.21799999999</v>
      </c>
      <c r="AS30" s="82">
        <f>I30+($N$1-N30)-(AN30-Q30)*(COS(S30*PI()/180))*(COS((T30+13+2.3)*PI()/180))</f>
        <v>3049240.4240000001</v>
      </c>
      <c r="AT30" s="82">
        <f>J30+($O$1-O30)-R30+AN30-(AN30-Q30)*(SIN(S30*PI()/180))-L30</f>
        <v>56.365000000000002</v>
      </c>
      <c r="AU30" s="70"/>
      <c r="AV30" s="92"/>
      <c r="AW30" s="128">
        <f>AQ30-'Estacas Hurd'!AQ30</f>
        <v>-1.23</v>
      </c>
      <c r="AX30" s="79"/>
    </row>
    <row r="31" spans="1:50" x14ac:dyDescent="0.6">
      <c r="A31" s="69" t="s">
        <v>123</v>
      </c>
      <c r="B31" s="84"/>
      <c r="D31" s="84" t="s">
        <v>237</v>
      </c>
      <c r="E31" s="85"/>
      <c r="G31" s="236"/>
      <c r="H31" s="229"/>
      <c r="I31" s="206"/>
      <c r="J31" s="206"/>
      <c r="K31" s="207"/>
      <c r="L31" s="206"/>
      <c r="M31" s="269"/>
      <c r="N31" s="269"/>
      <c r="O31" s="269"/>
      <c r="P31" s="87"/>
      <c r="Q31" s="73"/>
      <c r="R31" s="74"/>
      <c r="S31" s="220">
        <v>90</v>
      </c>
      <c r="T31" s="79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 t="e">
        <f>AVERAGE(U31:AC31)</f>
        <v>#DIV/0!</v>
      </c>
      <c r="AN31" s="89">
        <v>3.67</v>
      </c>
      <c r="AO31" s="127"/>
      <c r="AP31" s="76"/>
      <c r="AQ31" s="74">
        <f>AN31-(AN31-Q31)*(SIN((S31+AX31)*PI()/180))/(COS(AX31*PI()/180))</f>
        <v>0</v>
      </c>
      <c r="AR31" s="91">
        <f>H31+($M$1-M31)-(AN31-Q31)*(COS(S31*PI()/180))*(SIN((T31+13+2.3)*PI()/180))</f>
        <v>633905.21799999999</v>
      </c>
      <c r="AS31" s="82">
        <f>I31+($N$1-N31)-(AN31-Q31)*(COS(S31*PI()/180))*(COS((T31+13+2.3)*PI()/180))</f>
        <v>3049240.4240000001</v>
      </c>
      <c r="AT31" s="82">
        <f>J31+($O$1-O31)-R31+AN31-(AN31-Q31)*(SIN(S31*PI()/180))-L31</f>
        <v>56.365000000000002</v>
      </c>
      <c r="AU31" s="70"/>
      <c r="AV31" s="92"/>
      <c r="AW31" s="128">
        <f>AQ31-'Estacas Hurd'!AQ31</f>
        <v>-0.83999999999999986</v>
      </c>
      <c r="AX31" s="79"/>
    </row>
    <row r="32" spans="1:50" x14ac:dyDescent="0.6">
      <c r="A32" s="93" t="s">
        <v>124</v>
      </c>
      <c r="B32" s="94"/>
      <c r="C32" s="95"/>
      <c r="D32" s="93"/>
      <c r="E32" s="94"/>
      <c r="F32" s="95"/>
      <c r="G32" s="237"/>
      <c r="H32" s="230"/>
      <c r="I32" s="210"/>
      <c r="J32" s="210"/>
      <c r="K32" s="211"/>
      <c r="L32" s="210"/>
      <c r="M32" s="212"/>
      <c r="N32" s="212"/>
      <c r="O32" s="212"/>
      <c r="P32" s="204"/>
      <c r="Q32" s="98"/>
      <c r="R32" s="99"/>
      <c r="S32" s="100"/>
      <c r="T32" s="100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2"/>
      <c r="AO32" s="101"/>
      <c r="AP32" s="103"/>
      <c r="AQ32" s="99"/>
      <c r="AR32" s="132"/>
      <c r="AS32" s="96"/>
      <c r="AT32" s="96"/>
      <c r="AU32" s="97"/>
      <c r="AV32" s="104"/>
      <c r="AW32" s="133"/>
      <c r="AX32" s="100"/>
    </row>
    <row r="33" spans="1:50" x14ac:dyDescent="0.6">
      <c r="A33" s="105" t="s">
        <v>125</v>
      </c>
      <c r="B33" s="106"/>
      <c r="C33" s="107"/>
      <c r="D33" s="105"/>
      <c r="E33" s="106"/>
      <c r="F33" s="107"/>
      <c r="G33" s="238"/>
      <c r="H33" s="231"/>
      <c r="I33" s="213"/>
      <c r="J33" s="213"/>
      <c r="K33" s="214"/>
      <c r="L33" s="213"/>
      <c r="M33" s="215"/>
      <c r="N33" s="215"/>
      <c r="O33" s="215"/>
      <c r="P33" s="205"/>
      <c r="Q33" s="114"/>
      <c r="R33" s="109"/>
      <c r="S33" s="115"/>
      <c r="T33" s="115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6"/>
      <c r="AO33" s="110"/>
      <c r="AP33" s="118"/>
      <c r="AQ33" s="109"/>
      <c r="AR33" s="135"/>
      <c r="AS33" s="111"/>
      <c r="AT33" s="111"/>
      <c r="AU33" s="112"/>
      <c r="AV33" s="119"/>
      <c r="AW33" s="136"/>
      <c r="AX33" s="115"/>
    </row>
    <row r="34" spans="1:50" x14ac:dyDescent="0.6">
      <c r="A34" s="69" t="s">
        <v>126</v>
      </c>
      <c r="B34" s="84"/>
      <c r="D34" s="84" t="s">
        <v>237</v>
      </c>
      <c r="E34" s="85"/>
      <c r="G34" s="236"/>
      <c r="H34" s="229"/>
      <c r="I34" s="206"/>
      <c r="J34" s="206"/>
      <c r="K34" s="207"/>
      <c r="L34" s="206"/>
      <c r="M34" s="269"/>
      <c r="N34" s="269"/>
      <c r="O34" s="269"/>
      <c r="P34" s="202"/>
      <c r="Q34" s="73"/>
      <c r="R34" s="74"/>
      <c r="S34" s="220">
        <v>90</v>
      </c>
      <c r="T34" s="79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 t="e">
        <f>AVERAGE(U34:AC34)</f>
        <v>#DIV/0!</v>
      </c>
      <c r="AN34" s="89">
        <v>3.67</v>
      </c>
      <c r="AO34" s="127"/>
      <c r="AP34" s="76"/>
      <c r="AQ34" s="74">
        <f>AN34-(AN34-Q34)*(SIN((S34+AX34)*PI()/180))/(COS(AX34*PI()/180))</f>
        <v>0</v>
      </c>
      <c r="AR34" s="91">
        <f>H34+($M$1-M34)-(AN34-Q34)*(COS(S34*PI()/180))*(SIN((T34+13+2.3)*PI()/180))</f>
        <v>633905.21799999999</v>
      </c>
      <c r="AS34" s="82">
        <f>I34+($N$1-N34)-(AN34-Q34)*(COS(S34*PI()/180))*(COS((T34+13+2.3)*PI()/180))</f>
        <v>3049240.4240000001</v>
      </c>
      <c r="AT34" s="82">
        <f>J34+($O$1-O34)-R34+AN34-(AN34-Q34)*(SIN(S34*PI()/180))-L34</f>
        <v>56.365000000000002</v>
      </c>
      <c r="AU34" s="70"/>
      <c r="AV34" s="92"/>
      <c r="AW34" s="128">
        <f>AQ34-'Estacas Hurd'!AQ34</f>
        <v>0.20999999999999996</v>
      </c>
      <c r="AX34" s="79"/>
    </row>
    <row r="35" spans="1:50" x14ac:dyDescent="0.6">
      <c r="A35" s="93" t="s">
        <v>127</v>
      </c>
      <c r="B35" s="94"/>
      <c r="C35" s="95"/>
      <c r="D35" s="93"/>
      <c r="E35" s="94"/>
      <c r="F35" s="95"/>
      <c r="G35" s="237"/>
      <c r="H35" s="230"/>
      <c r="I35" s="210"/>
      <c r="J35" s="210"/>
      <c r="K35" s="211"/>
      <c r="L35" s="210"/>
      <c r="M35" s="212"/>
      <c r="N35" s="212"/>
      <c r="O35" s="212"/>
      <c r="P35" s="204"/>
      <c r="Q35" s="98"/>
      <c r="R35" s="99"/>
      <c r="S35" s="100"/>
      <c r="T35" s="100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20"/>
      <c r="AO35" s="101"/>
      <c r="AP35" s="103"/>
      <c r="AQ35" s="99"/>
      <c r="AR35" s="132"/>
      <c r="AS35" s="96"/>
      <c r="AT35" s="96"/>
      <c r="AU35" s="97"/>
      <c r="AV35" s="104"/>
      <c r="AW35" s="133"/>
      <c r="AX35" s="100"/>
    </row>
    <row r="36" spans="1:50" x14ac:dyDescent="0.6">
      <c r="A36" s="105" t="s">
        <v>128</v>
      </c>
      <c r="B36" s="106"/>
      <c r="C36" s="107"/>
      <c r="D36" s="105"/>
      <c r="E36" s="106"/>
      <c r="F36" s="107"/>
      <c r="G36" s="238"/>
      <c r="H36" s="231"/>
      <c r="I36" s="213"/>
      <c r="J36" s="213"/>
      <c r="K36" s="214"/>
      <c r="L36" s="213"/>
      <c r="M36" s="215"/>
      <c r="N36" s="215"/>
      <c r="O36" s="215"/>
      <c r="P36" s="205"/>
      <c r="Q36" s="114"/>
      <c r="R36" s="109"/>
      <c r="S36" s="115"/>
      <c r="T36" s="115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6"/>
      <c r="AO36" s="110"/>
      <c r="AP36" s="118"/>
      <c r="AQ36" s="109"/>
      <c r="AR36" s="135"/>
      <c r="AS36" s="111"/>
      <c r="AT36" s="111"/>
      <c r="AU36" s="112"/>
      <c r="AV36" s="119"/>
      <c r="AW36" s="136"/>
      <c r="AX36" s="115"/>
    </row>
    <row r="37" spans="1:50" x14ac:dyDescent="0.6">
      <c r="A37" s="105" t="s">
        <v>129</v>
      </c>
      <c r="B37" s="106"/>
      <c r="C37" s="107"/>
      <c r="D37" s="105"/>
      <c r="E37" s="106"/>
      <c r="F37" s="107"/>
      <c r="G37" s="238"/>
      <c r="H37" s="231"/>
      <c r="I37" s="213"/>
      <c r="J37" s="213"/>
      <c r="K37" s="214"/>
      <c r="L37" s="213"/>
      <c r="M37" s="215"/>
      <c r="N37" s="215"/>
      <c r="O37" s="215"/>
      <c r="P37" s="205"/>
      <c r="Q37" s="114"/>
      <c r="R37" s="109"/>
      <c r="S37" s="115"/>
      <c r="T37" s="115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6"/>
      <c r="AO37" s="110"/>
      <c r="AP37" s="118"/>
      <c r="AQ37" s="109"/>
      <c r="AR37" s="135"/>
      <c r="AS37" s="111"/>
      <c r="AT37" s="111"/>
      <c r="AU37" s="112"/>
      <c r="AV37" s="119"/>
      <c r="AW37" s="136"/>
      <c r="AX37" s="115"/>
    </row>
    <row r="38" spans="1:50" x14ac:dyDescent="0.6">
      <c r="A38" s="105" t="s">
        <v>130</v>
      </c>
      <c r="B38" s="106"/>
      <c r="C38" s="107"/>
      <c r="D38" s="105"/>
      <c r="E38" s="106"/>
      <c r="F38" s="107"/>
      <c r="G38" s="238"/>
      <c r="H38" s="231"/>
      <c r="I38" s="213"/>
      <c r="J38" s="213"/>
      <c r="K38" s="214"/>
      <c r="L38" s="213"/>
      <c r="M38" s="215"/>
      <c r="N38" s="215"/>
      <c r="O38" s="215"/>
      <c r="P38" s="205"/>
      <c r="Q38" s="114"/>
      <c r="R38" s="109"/>
      <c r="S38" s="115"/>
      <c r="T38" s="115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6"/>
      <c r="AO38" s="110"/>
      <c r="AP38" s="118"/>
      <c r="AQ38" s="109"/>
      <c r="AR38" s="135"/>
      <c r="AS38" s="111"/>
      <c r="AT38" s="111"/>
      <c r="AU38" s="112"/>
      <c r="AV38" s="119"/>
      <c r="AW38" s="136"/>
      <c r="AX38" s="115"/>
    </row>
    <row r="39" spans="1:50" x14ac:dyDescent="0.6">
      <c r="A39" s="105" t="s">
        <v>131</v>
      </c>
      <c r="B39" s="106"/>
      <c r="C39" s="107"/>
      <c r="D39" s="105"/>
      <c r="E39" s="106"/>
      <c r="F39" s="107"/>
      <c r="G39" s="238"/>
      <c r="H39" s="231"/>
      <c r="I39" s="213"/>
      <c r="J39" s="213"/>
      <c r="K39" s="214"/>
      <c r="L39" s="213"/>
      <c r="M39" s="215"/>
      <c r="N39" s="215"/>
      <c r="O39" s="215"/>
      <c r="P39" s="205"/>
      <c r="Q39" s="114"/>
      <c r="R39" s="109"/>
      <c r="S39" s="115"/>
      <c r="T39" s="115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6"/>
      <c r="AO39" s="110"/>
      <c r="AP39" s="118"/>
      <c r="AQ39" s="109"/>
      <c r="AR39" s="135"/>
      <c r="AS39" s="111"/>
      <c r="AT39" s="111"/>
      <c r="AU39" s="112"/>
      <c r="AV39" s="119"/>
      <c r="AW39" s="136"/>
      <c r="AX39" s="115"/>
    </row>
    <row r="40" spans="1:50" x14ac:dyDescent="0.6">
      <c r="A40" s="69" t="s">
        <v>132</v>
      </c>
      <c r="B40" s="217"/>
      <c r="D40" s="84" t="s">
        <v>237</v>
      </c>
      <c r="E40" s="84"/>
      <c r="G40" s="236"/>
      <c r="H40" s="229"/>
      <c r="I40" s="209"/>
      <c r="J40" s="209"/>
      <c r="K40" s="216"/>
      <c r="L40" s="207"/>
      <c r="M40" s="208"/>
      <c r="N40" s="208"/>
      <c r="O40" s="208"/>
      <c r="P40" s="200"/>
      <c r="Q40" s="73"/>
      <c r="R40" s="74"/>
      <c r="S40" s="88">
        <v>90</v>
      </c>
      <c r="T40" s="79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 t="e">
        <f>AVERAGE(U40:AC40)</f>
        <v>#DIV/0!</v>
      </c>
      <c r="AN40" s="89">
        <v>3.67</v>
      </c>
      <c r="AO40" s="75"/>
      <c r="AP40" s="76"/>
      <c r="AQ40" s="74">
        <f>AN40-(AN40-Q40)*(SIN((S40+AX40)*PI()/180))/(COS(AX40*PI()/180))</f>
        <v>0</v>
      </c>
      <c r="AR40" s="91">
        <f>H40+($M$1-M40)-(AN40-Q40)*(COS(S40*PI()/180))*(SIN((T40+13+2.3)*PI()/180))</f>
        <v>633905.21799999999</v>
      </c>
      <c r="AS40" s="82">
        <f>I40+($N$1-N40)-(AN40-Q40)*(COS(S40*PI()/180))*(COS((T40+13+2.3)*PI()/180))</f>
        <v>3049240.4240000001</v>
      </c>
      <c r="AT40" s="82">
        <f>J40+($O$1-O40)-R40+AN40-(AN40-Q40)*(SIN(S40*PI()/180))-L40</f>
        <v>56.365000000000002</v>
      </c>
      <c r="AU40" s="70"/>
      <c r="AV40" s="92"/>
      <c r="AW40" s="128">
        <f>AQ40-'Estacas Hurd'!AQ40</f>
        <v>-1.02</v>
      </c>
      <c r="AX40" s="79"/>
    </row>
    <row r="41" spans="1:50" x14ac:dyDescent="0.6">
      <c r="A41" s="93" t="s">
        <v>133</v>
      </c>
      <c r="B41" s="94"/>
      <c r="C41" s="95"/>
      <c r="D41" s="93"/>
      <c r="E41" s="94"/>
      <c r="F41" s="95"/>
      <c r="G41" s="237"/>
      <c r="H41" s="230"/>
      <c r="I41" s="210"/>
      <c r="J41" s="210"/>
      <c r="K41" s="211"/>
      <c r="L41" s="210"/>
      <c r="M41" s="212"/>
      <c r="N41" s="212"/>
      <c r="O41" s="212"/>
      <c r="P41" s="204"/>
      <c r="Q41" s="98"/>
      <c r="R41" s="99"/>
      <c r="S41" s="100"/>
      <c r="T41" s="100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2"/>
      <c r="AO41" s="101"/>
      <c r="AP41" s="103"/>
      <c r="AQ41" s="99"/>
      <c r="AR41" s="132"/>
      <c r="AS41" s="96"/>
      <c r="AT41" s="96"/>
      <c r="AU41" s="97"/>
      <c r="AV41" s="104"/>
      <c r="AW41" s="133"/>
      <c r="AX41" s="100"/>
    </row>
    <row r="42" spans="1:50" x14ac:dyDescent="0.6">
      <c r="A42" s="105" t="s">
        <v>134</v>
      </c>
      <c r="B42" s="106"/>
      <c r="C42" s="107"/>
      <c r="D42" s="105"/>
      <c r="E42" s="106"/>
      <c r="F42" s="107"/>
      <c r="G42" s="238"/>
      <c r="H42" s="231"/>
      <c r="I42" s="213"/>
      <c r="J42" s="213"/>
      <c r="K42" s="214"/>
      <c r="L42" s="213"/>
      <c r="M42" s="215"/>
      <c r="N42" s="215"/>
      <c r="O42" s="215"/>
      <c r="P42" s="205"/>
      <c r="Q42" s="114"/>
      <c r="R42" s="109"/>
      <c r="S42" s="115"/>
      <c r="T42" s="115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6"/>
      <c r="AO42" s="110"/>
      <c r="AP42" s="118"/>
      <c r="AQ42" s="109"/>
      <c r="AR42" s="135"/>
      <c r="AS42" s="111"/>
      <c r="AT42" s="111"/>
      <c r="AU42" s="112"/>
      <c r="AV42" s="119"/>
      <c r="AW42" s="136"/>
      <c r="AX42" s="115"/>
    </row>
    <row r="43" spans="1:50" x14ac:dyDescent="0.6">
      <c r="A43" s="105" t="s">
        <v>135</v>
      </c>
      <c r="B43" s="106"/>
      <c r="C43" s="107"/>
      <c r="D43" s="105"/>
      <c r="E43" s="106"/>
      <c r="F43" s="107"/>
      <c r="G43" s="238"/>
      <c r="H43" s="231"/>
      <c r="I43" s="213"/>
      <c r="J43" s="213"/>
      <c r="K43" s="214"/>
      <c r="L43" s="213"/>
      <c r="M43" s="215"/>
      <c r="N43" s="215"/>
      <c r="O43" s="215"/>
      <c r="P43" s="205"/>
      <c r="Q43" s="114"/>
      <c r="R43" s="109"/>
      <c r="S43" s="115"/>
      <c r="T43" s="115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6"/>
      <c r="AO43" s="110"/>
      <c r="AP43" s="118"/>
      <c r="AQ43" s="109"/>
      <c r="AR43" s="135"/>
      <c r="AS43" s="111"/>
      <c r="AT43" s="111"/>
      <c r="AU43" s="112"/>
      <c r="AV43" s="119"/>
      <c r="AW43" s="136"/>
      <c r="AX43" s="115"/>
    </row>
    <row r="44" spans="1:50" x14ac:dyDescent="0.6">
      <c r="A44" s="105" t="s">
        <v>136</v>
      </c>
      <c r="B44" s="106"/>
      <c r="C44" s="107"/>
      <c r="D44" s="105"/>
      <c r="E44" s="106"/>
      <c r="F44" s="107"/>
      <c r="G44" s="238"/>
      <c r="H44" s="231"/>
      <c r="I44" s="213"/>
      <c r="J44" s="213"/>
      <c r="K44" s="214"/>
      <c r="L44" s="213"/>
      <c r="M44" s="215"/>
      <c r="N44" s="215"/>
      <c r="O44" s="215"/>
      <c r="P44" s="205"/>
      <c r="Q44" s="114"/>
      <c r="R44" s="109"/>
      <c r="S44" s="115"/>
      <c r="T44" s="115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6"/>
      <c r="AO44" s="110"/>
      <c r="AP44" s="118"/>
      <c r="AQ44" s="109"/>
      <c r="AR44" s="135"/>
      <c r="AS44" s="111"/>
      <c r="AT44" s="111"/>
      <c r="AU44" s="112"/>
      <c r="AV44" s="119"/>
      <c r="AW44" s="136"/>
      <c r="AX44" s="115"/>
    </row>
    <row r="45" spans="1:50" x14ac:dyDescent="0.6">
      <c r="A45" s="93" t="s">
        <v>137</v>
      </c>
      <c r="B45" s="94"/>
      <c r="C45" s="95"/>
      <c r="D45" s="93"/>
      <c r="E45" s="94"/>
      <c r="F45" s="95"/>
      <c r="G45" s="237"/>
      <c r="H45" s="230"/>
      <c r="I45" s="210"/>
      <c r="J45" s="210"/>
      <c r="K45" s="211"/>
      <c r="L45" s="210"/>
      <c r="M45" s="212"/>
      <c r="N45" s="212"/>
      <c r="O45" s="212"/>
      <c r="P45" s="204"/>
      <c r="Q45" s="98"/>
      <c r="R45" s="99"/>
      <c r="S45" s="100"/>
      <c r="T45" s="100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2"/>
      <c r="AO45" s="101"/>
      <c r="AP45" s="103"/>
      <c r="AQ45" s="99"/>
      <c r="AR45" s="132"/>
      <c r="AS45" s="96"/>
      <c r="AT45" s="96"/>
      <c r="AU45" s="97"/>
      <c r="AV45" s="104"/>
      <c r="AW45" s="133"/>
      <c r="AX45" s="100"/>
    </row>
    <row r="46" spans="1:50" x14ac:dyDescent="0.6">
      <c r="A46" s="93" t="s">
        <v>138</v>
      </c>
      <c r="B46" s="94"/>
      <c r="C46" s="95"/>
      <c r="D46" s="93"/>
      <c r="E46" s="94"/>
      <c r="F46" s="95"/>
      <c r="G46" s="237"/>
      <c r="H46" s="230"/>
      <c r="I46" s="210"/>
      <c r="J46" s="210"/>
      <c r="K46" s="211"/>
      <c r="L46" s="210"/>
      <c r="M46" s="212"/>
      <c r="N46" s="212"/>
      <c r="O46" s="212"/>
      <c r="P46" s="204"/>
      <c r="Q46" s="98"/>
      <c r="R46" s="99"/>
      <c r="S46" s="100"/>
      <c r="T46" s="100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2"/>
      <c r="AO46" s="101"/>
      <c r="AP46" s="103"/>
      <c r="AQ46" s="99"/>
      <c r="AR46" s="132"/>
      <c r="AS46" s="96"/>
      <c r="AT46" s="96"/>
      <c r="AU46" s="97"/>
      <c r="AV46" s="104"/>
      <c r="AW46" s="133"/>
      <c r="AX46" s="100"/>
    </row>
    <row r="47" spans="1:50" x14ac:dyDescent="0.6">
      <c r="A47" s="93" t="s">
        <v>139</v>
      </c>
      <c r="B47" s="94"/>
      <c r="C47" s="95"/>
      <c r="D47" s="93"/>
      <c r="E47" s="94"/>
      <c r="F47" s="95"/>
      <c r="G47" s="237"/>
      <c r="H47" s="230"/>
      <c r="I47" s="210"/>
      <c r="J47" s="210"/>
      <c r="K47" s="211"/>
      <c r="L47" s="210"/>
      <c r="M47" s="212"/>
      <c r="N47" s="212"/>
      <c r="O47" s="212"/>
      <c r="P47" s="204"/>
      <c r="Q47" s="98"/>
      <c r="R47" s="99"/>
      <c r="S47" s="100"/>
      <c r="T47" s="100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2"/>
      <c r="AO47" s="101"/>
      <c r="AP47" s="103"/>
      <c r="AQ47" s="99"/>
      <c r="AR47" s="132"/>
      <c r="AS47" s="96"/>
      <c r="AT47" s="96"/>
      <c r="AU47" s="97"/>
      <c r="AV47" s="104"/>
      <c r="AW47" s="133"/>
      <c r="AX47" s="100"/>
    </row>
    <row r="48" spans="1:50" x14ac:dyDescent="0.6">
      <c r="A48" s="105" t="s">
        <v>140</v>
      </c>
      <c r="B48" s="106"/>
      <c r="C48" s="107"/>
      <c r="D48" s="105"/>
      <c r="E48" s="106"/>
      <c r="F48" s="107"/>
      <c r="G48" s="238"/>
      <c r="H48" s="231"/>
      <c r="I48" s="213"/>
      <c r="J48" s="213"/>
      <c r="K48" s="214"/>
      <c r="L48" s="213"/>
      <c r="M48" s="215"/>
      <c r="N48" s="215"/>
      <c r="O48" s="215"/>
      <c r="P48" s="205"/>
      <c r="Q48" s="114"/>
      <c r="R48" s="109"/>
      <c r="S48" s="115"/>
      <c r="T48" s="115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22"/>
      <c r="AO48" s="110"/>
      <c r="AP48" s="118"/>
      <c r="AQ48" s="109"/>
      <c r="AR48" s="135"/>
      <c r="AS48" s="111"/>
      <c r="AT48" s="111"/>
      <c r="AU48" s="112"/>
      <c r="AV48" s="119"/>
      <c r="AW48" s="136"/>
      <c r="AX48" s="115"/>
    </row>
    <row r="49" spans="1:50" x14ac:dyDescent="0.6">
      <c r="A49" s="93" t="s">
        <v>141</v>
      </c>
      <c r="B49" s="94"/>
      <c r="C49" s="95"/>
      <c r="D49" s="93"/>
      <c r="E49" s="94"/>
      <c r="F49" s="95"/>
      <c r="G49" s="237"/>
      <c r="H49" s="230"/>
      <c r="I49" s="210"/>
      <c r="J49" s="210"/>
      <c r="K49" s="211"/>
      <c r="L49" s="210"/>
      <c r="M49" s="212"/>
      <c r="N49" s="212"/>
      <c r="O49" s="212"/>
      <c r="P49" s="204"/>
      <c r="Q49" s="98"/>
      <c r="R49" s="99"/>
      <c r="S49" s="100"/>
      <c r="T49" s="100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2"/>
      <c r="AO49" s="101"/>
      <c r="AP49" s="103"/>
      <c r="AQ49" s="99"/>
      <c r="AR49" s="132"/>
      <c r="AS49" s="96"/>
      <c r="AT49" s="96"/>
      <c r="AU49" s="97"/>
      <c r="AV49" s="104"/>
      <c r="AW49" s="133"/>
      <c r="AX49" s="100"/>
    </row>
    <row r="50" spans="1:50" x14ac:dyDescent="0.6">
      <c r="A50" s="93" t="s">
        <v>142</v>
      </c>
      <c r="B50" s="94"/>
      <c r="C50" s="95"/>
      <c r="D50" s="93"/>
      <c r="E50" s="94"/>
      <c r="F50" s="95"/>
      <c r="G50" s="237"/>
      <c r="H50" s="230"/>
      <c r="I50" s="210"/>
      <c r="J50" s="210"/>
      <c r="K50" s="211"/>
      <c r="L50" s="210"/>
      <c r="M50" s="212"/>
      <c r="N50" s="212"/>
      <c r="O50" s="212"/>
      <c r="P50" s="204"/>
      <c r="Q50" s="98"/>
      <c r="R50" s="99"/>
      <c r="S50" s="100"/>
      <c r="T50" s="100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2"/>
      <c r="AO50" s="101"/>
      <c r="AP50" s="103"/>
      <c r="AQ50" s="99"/>
      <c r="AR50" s="132"/>
      <c r="AS50" s="96"/>
      <c r="AT50" s="96"/>
      <c r="AU50" s="97"/>
      <c r="AV50" s="104"/>
      <c r="AW50" s="133"/>
      <c r="AX50" s="100"/>
    </row>
    <row r="51" spans="1:50" x14ac:dyDescent="0.6">
      <c r="A51" s="93" t="s">
        <v>143</v>
      </c>
      <c r="B51" s="94"/>
      <c r="C51" s="95"/>
      <c r="D51" s="93"/>
      <c r="E51" s="94"/>
      <c r="F51" s="95"/>
      <c r="G51" s="237"/>
      <c r="H51" s="230"/>
      <c r="I51" s="210"/>
      <c r="J51" s="210"/>
      <c r="K51" s="211"/>
      <c r="L51" s="210"/>
      <c r="M51" s="212"/>
      <c r="N51" s="212"/>
      <c r="O51" s="212"/>
      <c r="P51" s="204"/>
      <c r="Q51" s="98"/>
      <c r="R51" s="99"/>
      <c r="S51" s="100"/>
      <c r="T51" s="100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2"/>
      <c r="AO51" s="101"/>
      <c r="AP51" s="103"/>
      <c r="AQ51" s="99"/>
      <c r="AR51" s="132"/>
      <c r="AS51" s="96"/>
      <c r="AT51" s="96"/>
      <c r="AU51" s="97"/>
      <c r="AV51" s="104"/>
      <c r="AW51" s="133"/>
      <c r="AX51" s="100"/>
    </row>
    <row r="52" spans="1:50" x14ac:dyDescent="0.6">
      <c r="A52" s="93" t="s">
        <v>144</v>
      </c>
      <c r="B52" s="94"/>
      <c r="C52" s="95"/>
      <c r="D52" s="93"/>
      <c r="E52" s="94"/>
      <c r="F52" s="95"/>
      <c r="G52" s="237"/>
      <c r="H52" s="230"/>
      <c r="I52" s="210"/>
      <c r="J52" s="210"/>
      <c r="K52" s="211"/>
      <c r="L52" s="210"/>
      <c r="M52" s="212"/>
      <c r="N52" s="212"/>
      <c r="O52" s="212"/>
      <c r="P52" s="204"/>
      <c r="Q52" s="98"/>
      <c r="R52" s="99"/>
      <c r="S52" s="100"/>
      <c r="T52" s="100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2"/>
      <c r="AO52" s="101"/>
      <c r="AP52" s="103"/>
      <c r="AQ52" s="99"/>
      <c r="AR52" s="132"/>
      <c r="AS52" s="96"/>
      <c r="AT52" s="96"/>
      <c r="AU52" s="97"/>
      <c r="AV52" s="104"/>
      <c r="AW52" s="133"/>
      <c r="AX52" s="100"/>
    </row>
    <row r="53" spans="1:50" x14ac:dyDescent="0.6">
      <c r="A53" s="93" t="s">
        <v>145</v>
      </c>
      <c r="B53" s="94"/>
      <c r="C53" s="95"/>
      <c r="D53" s="93"/>
      <c r="E53" s="94"/>
      <c r="F53" s="95"/>
      <c r="G53" s="237"/>
      <c r="H53" s="230"/>
      <c r="I53" s="210"/>
      <c r="J53" s="210"/>
      <c r="K53" s="211"/>
      <c r="L53" s="210"/>
      <c r="M53" s="212"/>
      <c r="N53" s="212"/>
      <c r="O53" s="212"/>
      <c r="P53" s="204"/>
      <c r="Q53" s="98"/>
      <c r="R53" s="99"/>
      <c r="S53" s="100"/>
      <c r="T53" s="100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2"/>
      <c r="AO53" s="101"/>
      <c r="AP53" s="103"/>
      <c r="AQ53" s="99"/>
      <c r="AR53" s="132"/>
      <c r="AS53" s="96"/>
      <c r="AT53" s="96"/>
      <c r="AU53" s="97"/>
      <c r="AV53" s="104"/>
      <c r="AW53" s="133"/>
      <c r="AX53" s="100"/>
    </row>
    <row r="54" spans="1:50" x14ac:dyDescent="0.6">
      <c r="A54" s="93" t="s">
        <v>146</v>
      </c>
      <c r="B54" s="94"/>
      <c r="C54" s="95"/>
      <c r="D54" s="93"/>
      <c r="E54" s="94"/>
      <c r="F54" s="95"/>
      <c r="G54" s="237"/>
      <c r="H54" s="230"/>
      <c r="I54" s="210"/>
      <c r="J54" s="210"/>
      <c r="K54" s="211"/>
      <c r="L54" s="210"/>
      <c r="M54" s="212"/>
      <c r="N54" s="212"/>
      <c r="O54" s="212"/>
      <c r="P54" s="204"/>
      <c r="Q54" s="98"/>
      <c r="R54" s="99"/>
      <c r="S54" s="100"/>
      <c r="T54" s="100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2"/>
      <c r="AO54" s="101"/>
      <c r="AP54" s="103"/>
      <c r="AQ54" s="99"/>
      <c r="AR54" s="132"/>
      <c r="AS54" s="96"/>
      <c r="AT54" s="96"/>
      <c r="AU54" s="97"/>
      <c r="AV54" s="104"/>
      <c r="AW54" s="133"/>
      <c r="AX54" s="100"/>
    </row>
    <row r="55" spans="1:50" x14ac:dyDescent="0.6">
      <c r="A55" s="70" t="s">
        <v>147</v>
      </c>
      <c r="B55" s="217"/>
      <c r="C55" s="218"/>
      <c r="D55" s="84" t="s">
        <v>237</v>
      </c>
      <c r="E55" s="207"/>
      <c r="F55" s="227"/>
      <c r="G55" s="235"/>
      <c r="H55" s="232"/>
      <c r="I55" s="209"/>
      <c r="J55" s="209"/>
      <c r="K55" s="216"/>
      <c r="L55" s="207"/>
      <c r="M55" s="208"/>
      <c r="N55" s="208"/>
      <c r="O55" s="208"/>
      <c r="P55" s="219"/>
      <c r="Q55" s="206"/>
      <c r="R55" s="206"/>
      <c r="S55" s="220">
        <v>90</v>
      </c>
      <c r="T55" s="221"/>
      <c r="U55" s="206"/>
      <c r="V55" s="206"/>
      <c r="W55" s="206"/>
      <c r="X55" s="206"/>
      <c r="Y55" s="206"/>
      <c r="Z55" s="206"/>
      <c r="AA55" s="206"/>
      <c r="AB55" s="206"/>
      <c r="AC55" s="222"/>
      <c r="AD55" s="206"/>
      <c r="AE55" s="206"/>
      <c r="AF55" s="206"/>
      <c r="AG55" s="206"/>
      <c r="AH55" s="206"/>
      <c r="AI55" s="206"/>
      <c r="AJ55" s="206"/>
      <c r="AK55" s="206"/>
      <c r="AL55" s="206"/>
      <c r="AM55" s="206" t="e">
        <f>AVERAGE(U55:AB55)</f>
        <v>#DIV/0!</v>
      </c>
      <c r="AN55" s="89">
        <v>3.67</v>
      </c>
      <c r="AO55" s="223"/>
      <c r="AP55" s="225"/>
      <c r="AQ55" s="226">
        <f>AN55-(AN55-Q55)*(SIN((S55+AX55)*PI()/180))/(COS(AX55*PI()/180))</f>
        <v>0</v>
      </c>
      <c r="AR55" s="224">
        <f>H55+($M$1-M55)-(AN55-Q55)*(COS(S55*PI()/180))*(SIN((T55+13+2.3)*PI()/180))</f>
        <v>633905.21799999999</v>
      </c>
      <c r="AS55" s="206">
        <f>I55+($N$1-N55)-(AN55-Q55)*(COS(S55*PI()/180))*(COS((T55+13+2.3)*PI()/180))</f>
        <v>3049240.4240000001</v>
      </c>
      <c r="AT55" s="206">
        <f>J55+($O$1-O55)-R55+AN55-(AN55-Q55)*(SIN(S55*PI()/180))-L55</f>
        <v>56.365000000000002</v>
      </c>
      <c r="AU55" s="208"/>
      <c r="AV55" s="207"/>
      <c r="AW55" s="224">
        <f>AQ55-'Estacas Hurd'!AQ55</f>
        <v>-0.41000000000000014</v>
      </c>
      <c r="AX55" s="221"/>
    </row>
    <row r="56" spans="1:50" x14ac:dyDescent="0.6">
      <c r="A56" s="93" t="s">
        <v>148</v>
      </c>
      <c r="B56" s="94"/>
      <c r="C56" s="95"/>
      <c r="D56" s="93"/>
      <c r="E56" s="94"/>
      <c r="F56" s="95"/>
      <c r="G56" s="237"/>
      <c r="H56" s="230"/>
      <c r="I56" s="210"/>
      <c r="J56" s="210"/>
      <c r="K56" s="211"/>
      <c r="L56" s="210"/>
      <c r="M56" s="212"/>
      <c r="N56" s="212"/>
      <c r="O56" s="212"/>
      <c r="P56" s="204"/>
      <c r="Q56" s="98"/>
      <c r="R56" s="99"/>
      <c r="S56" s="100"/>
      <c r="T56" s="100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2"/>
      <c r="AO56" s="101"/>
      <c r="AP56" s="103"/>
      <c r="AQ56" s="99"/>
      <c r="AR56" s="132"/>
      <c r="AS56" s="96"/>
      <c r="AT56" s="96"/>
      <c r="AU56" s="97"/>
      <c r="AV56" s="104"/>
      <c r="AW56" s="133"/>
      <c r="AX56" s="100"/>
    </row>
    <row r="57" spans="1:50" x14ac:dyDescent="0.6">
      <c r="A57" s="201" t="s">
        <v>149</v>
      </c>
      <c r="B57" s="217"/>
      <c r="C57" s="218"/>
      <c r="D57" s="84" t="s">
        <v>237</v>
      </c>
      <c r="E57" s="207"/>
      <c r="F57" s="227"/>
      <c r="G57" s="235"/>
      <c r="H57" s="232"/>
      <c r="I57" s="209"/>
      <c r="J57" s="209"/>
      <c r="K57" s="216"/>
      <c r="L57" s="207"/>
      <c r="M57" s="208"/>
      <c r="N57" s="208"/>
      <c r="O57" s="208"/>
      <c r="P57" s="219"/>
      <c r="Q57" s="206"/>
      <c r="R57" s="206"/>
      <c r="S57" s="220">
        <v>90</v>
      </c>
      <c r="T57" s="206"/>
      <c r="U57" s="206"/>
      <c r="V57" s="206"/>
      <c r="W57" s="79"/>
      <c r="X57" s="206"/>
      <c r="Y57" s="206"/>
      <c r="Z57" s="206"/>
      <c r="AA57" s="206"/>
      <c r="AB57" s="206"/>
      <c r="AC57" s="222"/>
      <c r="AD57" s="206"/>
      <c r="AE57" s="206"/>
      <c r="AF57" s="206"/>
      <c r="AG57" s="206"/>
      <c r="AH57" s="206"/>
      <c r="AI57" s="206"/>
      <c r="AJ57" s="206"/>
      <c r="AK57" s="206"/>
      <c r="AL57" s="206"/>
      <c r="AM57" s="206" t="e">
        <f t="shared" ref="AM57:AM68" si="5">AVERAGE(U57:AC57)</f>
        <v>#DIV/0!</v>
      </c>
      <c r="AN57" s="89">
        <v>3.67</v>
      </c>
      <c r="AO57" s="206"/>
      <c r="AP57" s="225"/>
      <c r="AQ57" s="226">
        <f t="shared" ref="AQ57:AQ65" si="6">AN57-(AN57-Q57)*(SIN((S57+AX57)*PI()/180))/(COS(AX57*PI()/180))</f>
        <v>0</v>
      </c>
      <c r="AR57" s="224">
        <f t="shared" ref="AR57:AR65" si="7">H57+($M$1-M57)-(AN57-Q57)*(COS(S57*PI()/180))*(SIN((T57+13+2.3)*PI()/180))</f>
        <v>633905.21799999999</v>
      </c>
      <c r="AS57" s="206">
        <f t="shared" ref="AS57:AS65" si="8">I57+($N$1-N57)-(AN57-Q57)*(COS(S57*PI()/180))*(COS((T57+13+2.3)*PI()/180))</f>
        <v>3049240.4240000001</v>
      </c>
      <c r="AT57" s="206">
        <f t="shared" ref="AT57:AT65" si="9">J57+($O$1-O57)-R57+AN57-(AN57-Q57)*(SIN(S57*PI()/180))-L57</f>
        <v>56.365000000000002</v>
      </c>
      <c r="AU57" s="222"/>
      <c r="AV57" s="208"/>
      <c r="AW57" s="224">
        <f>AQ57-'Estacas Hurd'!AQ57</f>
        <v>-0.5</v>
      </c>
      <c r="AX57" s="206"/>
    </row>
    <row r="58" spans="1:50" x14ac:dyDescent="0.6">
      <c r="A58" s="201" t="s">
        <v>150</v>
      </c>
      <c r="B58" s="217"/>
      <c r="C58" s="218"/>
      <c r="D58" s="84" t="s">
        <v>237</v>
      </c>
      <c r="E58" s="207"/>
      <c r="F58" s="227"/>
      <c r="G58" s="235"/>
      <c r="H58" s="232"/>
      <c r="I58" s="209"/>
      <c r="J58" s="209"/>
      <c r="K58" s="216"/>
      <c r="L58" s="207"/>
      <c r="M58" s="208"/>
      <c r="N58" s="208"/>
      <c r="O58" s="208"/>
      <c r="P58" s="219"/>
      <c r="Q58" s="206"/>
      <c r="R58" s="206"/>
      <c r="S58" s="220">
        <v>90</v>
      </c>
      <c r="T58" s="206"/>
      <c r="U58" s="206"/>
      <c r="V58" s="206"/>
      <c r="W58" s="206"/>
      <c r="X58" s="206"/>
      <c r="Y58" s="206"/>
      <c r="Z58" s="206"/>
      <c r="AA58" s="206"/>
      <c r="AB58" s="206"/>
      <c r="AC58" s="222"/>
      <c r="AD58" s="206"/>
      <c r="AE58" s="206"/>
      <c r="AF58" s="206"/>
      <c r="AG58" s="206"/>
      <c r="AH58" s="206"/>
      <c r="AI58" s="206"/>
      <c r="AJ58" s="206"/>
      <c r="AK58" s="206"/>
      <c r="AL58" s="206"/>
      <c r="AM58" s="206" t="e">
        <f t="shared" si="5"/>
        <v>#DIV/0!</v>
      </c>
      <c r="AN58" s="89">
        <v>3.67</v>
      </c>
      <c r="AO58" s="206"/>
      <c r="AP58" s="225"/>
      <c r="AQ58" s="226">
        <f t="shared" si="6"/>
        <v>0</v>
      </c>
      <c r="AR58" s="224">
        <f t="shared" si="7"/>
        <v>633905.21799999999</v>
      </c>
      <c r="AS58" s="206">
        <f t="shared" si="8"/>
        <v>3049240.4240000001</v>
      </c>
      <c r="AT58" s="206">
        <f t="shared" si="9"/>
        <v>56.365000000000002</v>
      </c>
      <c r="AU58" s="222"/>
      <c r="AV58" s="208"/>
      <c r="AW58" s="224">
        <f>AQ58-'Estacas Hurd'!AQ58</f>
        <v>-0.79043136643071055</v>
      </c>
      <c r="AX58" s="206"/>
    </row>
    <row r="59" spans="1:50" x14ac:dyDescent="0.6">
      <c r="A59" s="201" t="s">
        <v>151</v>
      </c>
      <c r="B59" s="217"/>
      <c r="C59" s="218"/>
      <c r="D59" s="84" t="s">
        <v>237</v>
      </c>
      <c r="E59" s="207"/>
      <c r="F59" s="227"/>
      <c r="G59" s="235"/>
      <c r="H59" s="232"/>
      <c r="I59" s="209"/>
      <c r="J59" s="209"/>
      <c r="K59" s="216"/>
      <c r="L59" s="207"/>
      <c r="M59" s="208"/>
      <c r="N59" s="208"/>
      <c r="O59" s="208"/>
      <c r="P59" s="219"/>
      <c r="Q59" s="206"/>
      <c r="R59" s="206"/>
      <c r="S59" s="220">
        <v>90</v>
      </c>
      <c r="T59" s="206"/>
      <c r="U59" s="206"/>
      <c r="V59" s="206"/>
      <c r="W59" s="206"/>
      <c r="X59" s="206"/>
      <c r="Y59" s="206"/>
      <c r="Z59" s="206"/>
      <c r="AA59" s="206"/>
      <c r="AB59" s="206"/>
      <c r="AC59" s="222"/>
      <c r="AD59" s="206"/>
      <c r="AE59" s="206"/>
      <c r="AF59" s="206"/>
      <c r="AG59" s="206"/>
      <c r="AH59" s="206"/>
      <c r="AI59" s="206"/>
      <c r="AJ59" s="206"/>
      <c r="AK59" s="206"/>
      <c r="AL59" s="206"/>
      <c r="AM59" s="206" t="e">
        <f t="shared" si="5"/>
        <v>#DIV/0!</v>
      </c>
      <c r="AN59" s="89">
        <v>3.67</v>
      </c>
      <c r="AO59" s="206"/>
      <c r="AP59" s="225"/>
      <c r="AQ59" s="226">
        <f t="shared" si="6"/>
        <v>0</v>
      </c>
      <c r="AR59" s="224">
        <f t="shared" si="7"/>
        <v>633905.21799999999</v>
      </c>
      <c r="AS59" s="206">
        <f t="shared" si="8"/>
        <v>3049240.4240000001</v>
      </c>
      <c r="AT59" s="206">
        <f t="shared" si="9"/>
        <v>56.365000000000002</v>
      </c>
      <c r="AU59" s="222"/>
      <c r="AV59" s="208"/>
      <c r="AW59" s="224">
        <f>AQ59-'Estacas Hurd'!AQ59</f>
        <v>-0.16999999999999993</v>
      </c>
      <c r="AX59" s="206"/>
    </row>
    <row r="60" spans="1:50" x14ac:dyDescent="0.6">
      <c r="A60" s="201" t="s">
        <v>152</v>
      </c>
      <c r="B60" s="217"/>
      <c r="C60" s="218"/>
      <c r="D60" s="84" t="s">
        <v>237</v>
      </c>
      <c r="E60" s="207"/>
      <c r="F60" s="227"/>
      <c r="G60" s="235"/>
      <c r="H60" s="232"/>
      <c r="I60" s="209"/>
      <c r="J60" s="209"/>
      <c r="K60" s="216"/>
      <c r="L60" s="207"/>
      <c r="M60" s="208"/>
      <c r="N60" s="208"/>
      <c r="O60" s="208"/>
      <c r="P60" s="219"/>
      <c r="Q60" s="206"/>
      <c r="R60" s="206"/>
      <c r="S60" s="220">
        <v>90</v>
      </c>
      <c r="T60" s="206"/>
      <c r="U60" s="206"/>
      <c r="V60" s="206"/>
      <c r="W60" s="206"/>
      <c r="X60" s="206"/>
      <c r="Y60" s="206"/>
      <c r="Z60" s="206"/>
      <c r="AA60" s="206"/>
      <c r="AB60" s="206"/>
      <c r="AC60" s="222"/>
      <c r="AD60" s="206"/>
      <c r="AE60" s="206"/>
      <c r="AF60" s="206"/>
      <c r="AG60" s="206"/>
      <c r="AH60" s="206"/>
      <c r="AI60" s="206"/>
      <c r="AJ60" s="206"/>
      <c r="AK60" s="206"/>
      <c r="AL60" s="206"/>
      <c r="AM60" s="206" t="e">
        <f t="shared" si="5"/>
        <v>#DIV/0!</v>
      </c>
      <c r="AN60" s="89">
        <v>3.67</v>
      </c>
      <c r="AO60" s="206"/>
      <c r="AP60" s="225"/>
      <c r="AQ60" s="226">
        <f t="shared" si="6"/>
        <v>0</v>
      </c>
      <c r="AR60" s="224">
        <f t="shared" si="7"/>
        <v>633905.21799999999</v>
      </c>
      <c r="AS60" s="206">
        <f t="shared" si="8"/>
        <v>3049240.4240000001</v>
      </c>
      <c r="AT60" s="206">
        <f t="shared" si="9"/>
        <v>56.365000000000002</v>
      </c>
      <c r="AU60" s="222"/>
      <c r="AV60" s="208"/>
      <c r="AW60" s="224">
        <f>AQ60-'Estacas Hurd'!AQ60</f>
        <v>6.999999999999984E-2</v>
      </c>
      <c r="AX60" s="206"/>
    </row>
    <row r="61" spans="1:50" x14ac:dyDescent="0.6">
      <c r="A61" s="93" t="s">
        <v>153</v>
      </c>
      <c r="B61" s="94"/>
      <c r="C61" s="95"/>
      <c r="D61" s="93"/>
      <c r="E61" s="94"/>
      <c r="F61" s="95"/>
      <c r="G61" s="237"/>
      <c r="H61" s="230"/>
      <c r="I61" s="210"/>
      <c r="J61" s="210"/>
      <c r="K61" s="211"/>
      <c r="L61" s="210"/>
      <c r="M61" s="212"/>
      <c r="N61" s="212"/>
      <c r="O61" s="212"/>
      <c r="P61" s="204"/>
      <c r="Q61" s="98"/>
      <c r="R61" s="99"/>
      <c r="S61" s="100"/>
      <c r="T61" s="100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2"/>
      <c r="AO61" s="101"/>
      <c r="AP61" s="103"/>
      <c r="AQ61" s="99"/>
      <c r="AR61" s="132"/>
      <c r="AS61" s="96"/>
      <c r="AT61" s="96"/>
      <c r="AU61" s="97"/>
      <c r="AV61" s="104"/>
      <c r="AW61" s="133"/>
      <c r="AX61" s="100"/>
    </row>
    <row r="62" spans="1:50" x14ac:dyDescent="0.6">
      <c r="A62" s="93" t="s">
        <v>154</v>
      </c>
      <c r="B62" s="94"/>
      <c r="C62" s="95"/>
      <c r="D62" s="93"/>
      <c r="E62" s="94"/>
      <c r="F62" s="95"/>
      <c r="G62" s="237"/>
      <c r="H62" s="230"/>
      <c r="I62" s="210"/>
      <c r="J62" s="210"/>
      <c r="K62" s="211"/>
      <c r="L62" s="210"/>
      <c r="M62" s="212"/>
      <c r="N62" s="212"/>
      <c r="O62" s="212"/>
      <c r="P62" s="204"/>
      <c r="Q62" s="98"/>
      <c r="R62" s="99"/>
      <c r="S62" s="100"/>
      <c r="T62" s="100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2"/>
      <c r="AO62" s="101"/>
      <c r="AP62" s="103"/>
      <c r="AQ62" s="99"/>
      <c r="AR62" s="132"/>
      <c r="AS62" s="96"/>
      <c r="AT62" s="96"/>
      <c r="AU62" s="97"/>
      <c r="AV62" s="104"/>
      <c r="AW62" s="133"/>
      <c r="AX62" s="100"/>
    </row>
    <row r="63" spans="1:50" x14ac:dyDescent="0.6">
      <c r="A63" s="201" t="s">
        <v>155</v>
      </c>
      <c r="B63" s="84"/>
      <c r="C63" s="218"/>
      <c r="D63" s="84" t="s">
        <v>237</v>
      </c>
      <c r="E63" s="207"/>
      <c r="F63" s="227"/>
      <c r="G63" s="235"/>
      <c r="H63" s="232"/>
      <c r="I63" s="209"/>
      <c r="J63" s="209"/>
      <c r="K63" s="216"/>
      <c r="L63" s="207"/>
      <c r="M63" s="269"/>
      <c r="N63" s="269"/>
      <c r="O63" s="269"/>
      <c r="P63" s="219"/>
      <c r="Q63" s="206"/>
      <c r="R63" s="206"/>
      <c r="S63" s="220">
        <v>90</v>
      </c>
      <c r="T63" s="206"/>
      <c r="U63" s="206"/>
      <c r="V63" s="206"/>
      <c r="W63" s="206"/>
      <c r="X63" s="206"/>
      <c r="Y63" s="206"/>
      <c r="Z63" s="206"/>
      <c r="AA63" s="206"/>
      <c r="AB63" s="206"/>
      <c r="AC63" s="222"/>
      <c r="AD63" s="206"/>
      <c r="AE63" s="206"/>
      <c r="AF63" s="206"/>
      <c r="AG63" s="206"/>
      <c r="AH63" s="206"/>
      <c r="AI63" s="206"/>
      <c r="AJ63" s="206"/>
      <c r="AK63" s="206"/>
      <c r="AL63" s="206"/>
      <c r="AM63" s="206" t="e">
        <f t="shared" si="5"/>
        <v>#DIV/0!</v>
      </c>
      <c r="AN63" s="89">
        <v>3.67</v>
      </c>
      <c r="AO63" s="206"/>
      <c r="AP63" s="225"/>
      <c r="AQ63" s="226">
        <f t="shared" si="6"/>
        <v>0</v>
      </c>
      <c r="AR63" s="224">
        <f t="shared" si="7"/>
        <v>633905.21799999999</v>
      </c>
      <c r="AS63" s="206">
        <f t="shared" si="8"/>
        <v>3049240.4240000001</v>
      </c>
      <c r="AT63" s="206">
        <f t="shared" si="9"/>
        <v>56.365000000000002</v>
      </c>
      <c r="AU63" s="222"/>
      <c r="AV63" s="208"/>
      <c r="AW63" s="224">
        <f>AQ63-'Estacas Hurd'!AQ63</f>
        <v>-0.50999999999999979</v>
      </c>
      <c r="AX63" s="206"/>
    </row>
    <row r="64" spans="1:50" x14ac:dyDescent="0.6">
      <c r="A64" s="93" t="s">
        <v>156</v>
      </c>
      <c r="B64" s="94"/>
      <c r="C64" s="95"/>
      <c r="D64" s="93"/>
      <c r="E64" s="94"/>
      <c r="F64" s="95"/>
      <c r="G64" s="237"/>
      <c r="H64" s="230"/>
      <c r="I64" s="210"/>
      <c r="J64" s="210"/>
      <c r="K64" s="211"/>
      <c r="L64" s="210"/>
      <c r="M64" s="212"/>
      <c r="N64" s="212"/>
      <c r="O64" s="212"/>
      <c r="P64" s="204"/>
      <c r="Q64" s="98"/>
      <c r="R64" s="99"/>
      <c r="S64" s="100"/>
      <c r="T64" s="100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2"/>
      <c r="AO64" s="101"/>
      <c r="AP64" s="103"/>
      <c r="AQ64" s="99"/>
      <c r="AR64" s="132"/>
      <c r="AS64" s="96"/>
      <c r="AT64" s="96"/>
      <c r="AU64" s="97"/>
      <c r="AV64" s="104"/>
      <c r="AW64" s="133"/>
      <c r="AX64" s="100"/>
    </row>
    <row r="65" spans="1:50" x14ac:dyDescent="0.6">
      <c r="A65" s="201" t="s">
        <v>157</v>
      </c>
      <c r="B65" s="217"/>
      <c r="C65" s="218"/>
      <c r="D65" s="84" t="s">
        <v>237</v>
      </c>
      <c r="E65" s="207"/>
      <c r="F65" s="227"/>
      <c r="G65" s="235"/>
      <c r="H65" s="232"/>
      <c r="I65" s="209"/>
      <c r="J65" s="209"/>
      <c r="K65" s="216"/>
      <c r="L65" s="207"/>
      <c r="M65" s="208"/>
      <c r="N65" s="208"/>
      <c r="O65" s="208"/>
      <c r="P65" s="219"/>
      <c r="Q65" s="206"/>
      <c r="R65" s="206"/>
      <c r="S65" s="220">
        <v>90</v>
      </c>
      <c r="T65" s="206"/>
      <c r="U65" s="206"/>
      <c r="V65" s="206"/>
      <c r="W65" s="206"/>
      <c r="X65" s="206"/>
      <c r="Y65" s="206"/>
      <c r="Z65" s="206"/>
      <c r="AA65" s="206"/>
      <c r="AB65" s="206"/>
      <c r="AC65" s="222"/>
      <c r="AD65" s="206"/>
      <c r="AE65" s="206"/>
      <c r="AF65" s="206"/>
      <c r="AG65" s="206"/>
      <c r="AH65" s="206"/>
      <c r="AI65" s="206"/>
      <c r="AJ65" s="206"/>
      <c r="AK65" s="206"/>
      <c r="AL65" s="206"/>
      <c r="AM65" s="206" t="e">
        <f t="shared" si="5"/>
        <v>#DIV/0!</v>
      </c>
      <c r="AN65" s="89">
        <v>3.67</v>
      </c>
      <c r="AO65" s="206"/>
      <c r="AP65" s="225"/>
      <c r="AQ65" s="226">
        <f t="shared" si="6"/>
        <v>0</v>
      </c>
      <c r="AR65" s="224">
        <f t="shared" si="7"/>
        <v>633905.21799999999</v>
      </c>
      <c r="AS65" s="206">
        <f t="shared" si="8"/>
        <v>3049240.4240000001</v>
      </c>
      <c r="AT65" s="206">
        <f t="shared" si="9"/>
        <v>56.365000000000002</v>
      </c>
      <c r="AU65" s="222"/>
      <c r="AV65" s="208"/>
      <c r="AW65" s="224">
        <f>AQ65-'Estacas Hurd'!AQ65</f>
        <v>-0.54</v>
      </c>
      <c r="AX65" s="206"/>
    </row>
    <row r="66" spans="1:50" x14ac:dyDescent="0.6">
      <c r="A66" s="93" t="s">
        <v>158</v>
      </c>
      <c r="B66" s="94"/>
      <c r="C66" s="95"/>
      <c r="D66" s="93"/>
      <c r="E66" s="94"/>
      <c r="F66" s="95"/>
      <c r="G66" s="237"/>
      <c r="H66" s="230"/>
      <c r="I66" s="210"/>
      <c r="J66" s="210"/>
      <c r="K66" s="211"/>
      <c r="L66" s="210"/>
      <c r="M66" s="212"/>
      <c r="N66" s="212"/>
      <c r="O66" s="212"/>
      <c r="P66" s="204"/>
      <c r="Q66" s="98"/>
      <c r="R66" s="99"/>
      <c r="S66" s="100"/>
      <c r="T66" s="100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2"/>
      <c r="AO66" s="101"/>
      <c r="AP66" s="103"/>
      <c r="AQ66" s="99"/>
      <c r="AR66" s="132"/>
      <c r="AS66" s="96"/>
      <c r="AT66" s="96"/>
      <c r="AU66" s="97"/>
      <c r="AV66" s="104"/>
      <c r="AW66" s="133"/>
      <c r="AX66" s="100"/>
    </row>
    <row r="67" spans="1:50" x14ac:dyDescent="0.6">
      <c r="A67" s="270" t="s">
        <v>159</v>
      </c>
      <c r="B67" s="271"/>
      <c r="C67" s="272"/>
      <c r="D67" s="273"/>
      <c r="E67" s="274"/>
      <c r="F67" s="275"/>
      <c r="G67" s="276"/>
      <c r="H67" s="277"/>
      <c r="I67" s="274"/>
      <c r="J67" s="274"/>
      <c r="K67" s="273"/>
      <c r="L67" s="273"/>
      <c r="M67" s="273"/>
      <c r="N67" s="273"/>
      <c r="O67" s="273"/>
      <c r="P67" s="278"/>
      <c r="Q67" s="279"/>
      <c r="R67" s="279"/>
      <c r="S67" s="280"/>
      <c r="T67" s="279"/>
      <c r="U67" s="279"/>
      <c r="V67" s="279"/>
      <c r="W67" s="279"/>
      <c r="X67" s="279"/>
      <c r="Y67" s="279"/>
      <c r="Z67" s="279"/>
      <c r="AA67" s="279"/>
      <c r="AB67" s="279"/>
      <c r="AC67" s="279"/>
      <c r="AD67" s="279"/>
      <c r="AE67" s="279"/>
      <c r="AF67" s="279"/>
      <c r="AG67" s="279"/>
      <c r="AH67" s="279"/>
      <c r="AI67" s="279"/>
      <c r="AJ67" s="279"/>
      <c r="AK67" s="279"/>
      <c r="AL67" s="279"/>
      <c r="AM67" s="279"/>
      <c r="AN67" s="279"/>
      <c r="AO67" s="279"/>
      <c r="AP67" s="281"/>
      <c r="AQ67" s="282"/>
      <c r="AR67" s="283"/>
      <c r="AS67" s="279"/>
      <c r="AT67" s="279"/>
      <c r="AU67" s="274"/>
      <c r="AV67" s="273"/>
      <c r="AW67" s="283"/>
      <c r="AX67" s="279"/>
    </row>
    <row r="68" spans="1:50" ht="13.5" customHeight="1" x14ac:dyDescent="0.6">
      <c r="A68" s="201" t="s">
        <v>160</v>
      </c>
      <c r="B68" s="84"/>
      <c r="C68" s="218"/>
      <c r="D68" s="84" t="s">
        <v>237</v>
      </c>
      <c r="E68" s="217"/>
      <c r="F68" s="228"/>
      <c r="G68" s="235"/>
      <c r="H68" s="232"/>
      <c r="I68" s="209"/>
      <c r="J68" s="209"/>
      <c r="K68" s="208"/>
      <c r="L68" s="208"/>
      <c r="M68" s="269"/>
      <c r="N68" s="269"/>
      <c r="O68" s="269"/>
      <c r="P68" s="219"/>
      <c r="Q68" s="206"/>
      <c r="R68" s="206"/>
      <c r="S68" s="220">
        <v>90</v>
      </c>
      <c r="T68" s="206"/>
      <c r="U68" s="206"/>
      <c r="V68" s="206"/>
      <c r="W68" s="206"/>
      <c r="X68" s="206"/>
      <c r="Y68" s="206"/>
      <c r="Z68" s="206"/>
      <c r="AA68" s="206"/>
      <c r="AB68" s="206"/>
      <c r="AC68" s="206"/>
      <c r="AD68" s="206"/>
      <c r="AE68" s="206"/>
      <c r="AF68" s="206"/>
      <c r="AG68" s="206"/>
      <c r="AH68" s="206"/>
      <c r="AI68" s="206"/>
      <c r="AJ68" s="206"/>
      <c r="AK68" s="206"/>
      <c r="AL68" s="206"/>
      <c r="AM68" s="206" t="e">
        <f t="shared" si="5"/>
        <v>#DIV/0!</v>
      </c>
      <c r="AN68" s="89">
        <v>3.67</v>
      </c>
      <c r="AO68" s="206"/>
      <c r="AP68" s="225"/>
      <c r="AQ68" s="226">
        <f t="shared" ref="AQ68:AQ74" si="10">AN68-(AN68-Q68)*(SIN((S68+AX68)*PI()/180))/(COS(AX68*PI()/180))</f>
        <v>0</v>
      </c>
      <c r="AR68" s="224">
        <f t="shared" ref="AR68:AR74" si="11">H68+($M$1-M68)-(AN68-Q68)*(COS(S68*PI()/180))*(SIN((T68+13+2.3)*PI()/180))</f>
        <v>633905.21799999999</v>
      </c>
      <c r="AS68" s="206">
        <f t="shared" ref="AS68:AS74" si="12">I68+($N$1-N68)-(AN68-Q68)*(COS(S68*PI()/180))*(COS((T68+13+2.3)*PI()/180))</f>
        <v>3049240.4240000001</v>
      </c>
      <c r="AT68" s="206">
        <f t="shared" ref="AT68:AT74" si="13">J68+($O$1-O68)-R68+AN68-(AN68-Q68)*(SIN(S68*PI()/180))-L68</f>
        <v>56.365000000000002</v>
      </c>
      <c r="AU68" s="222"/>
      <c r="AV68" s="208"/>
      <c r="AW68" s="224">
        <f>AQ68-'Estacas Hurd'!AQ68</f>
        <v>-6.999999999999984E-2</v>
      </c>
      <c r="AX68" s="206"/>
    </row>
    <row r="69" spans="1:50" x14ac:dyDescent="0.6">
      <c r="A69" s="270" t="s">
        <v>161</v>
      </c>
      <c r="B69" s="271"/>
      <c r="C69" s="272"/>
      <c r="D69" s="273"/>
      <c r="E69" s="274"/>
      <c r="F69" s="275"/>
      <c r="G69" s="276"/>
      <c r="H69" s="277"/>
      <c r="I69" s="274"/>
      <c r="J69" s="274"/>
      <c r="K69" s="273"/>
      <c r="L69" s="273"/>
      <c r="M69" s="273"/>
      <c r="N69" s="273"/>
      <c r="O69" s="273"/>
      <c r="P69" s="278"/>
      <c r="Q69" s="279"/>
      <c r="R69" s="279"/>
      <c r="S69" s="280"/>
      <c r="T69" s="279"/>
      <c r="U69" s="279"/>
      <c r="V69" s="279"/>
      <c r="W69" s="279"/>
      <c r="X69" s="279"/>
      <c r="Y69" s="279"/>
      <c r="Z69" s="279"/>
      <c r="AA69" s="279"/>
      <c r="AB69" s="279"/>
      <c r="AC69" s="279"/>
      <c r="AD69" s="279"/>
      <c r="AE69" s="279"/>
      <c r="AF69" s="279"/>
      <c r="AG69" s="279"/>
      <c r="AH69" s="279"/>
      <c r="AI69" s="279"/>
      <c r="AJ69" s="279"/>
      <c r="AK69" s="279"/>
      <c r="AL69" s="279"/>
      <c r="AM69" s="279"/>
      <c r="AN69" s="279"/>
      <c r="AO69" s="279"/>
      <c r="AP69" s="281"/>
      <c r="AQ69" s="282"/>
      <c r="AR69" s="283"/>
      <c r="AS69" s="279"/>
      <c r="AT69" s="279"/>
      <c r="AU69" s="274"/>
      <c r="AV69" s="273"/>
      <c r="AW69" s="283"/>
      <c r="AX69" s="279"/>
    </row>
    <row r="70" spans="1:50" x14ac:dyDescent="0.6">
      <c r="A70" s="201" t="s">
        <v>162</v>
      </c>
      <c r="B70" s="217"/>
      <c r="C70" s="218"/>
      <c r="D70" s="84" t="s">
        <v>237</v>
      </c>
      <c r="E70" s="217"/>
      <c r="F70" s="228"/>
      <c r="G70" s="235"/>
      <c r="H70" s="232"/>
      <c r="I70" s="209"/>
      <c r="J70" s="209"/>
      <c r="K70" s="208"/>
      <c r="L70" s="208"/>
      <c r="M70" s="208"/>
      <c r="N70" s="208"/>
      <c r="O70" s="208"/>
      <c r="P70" s="219"/>
      <c r="Q70" s="206"/>
      <c r="R70" s="206"/>
      <c r="S70" s="220">
        <v>90</v>
      </c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206"/>
      <c r="AE70" s="206"/>
      <c r="AF70" s="206"/>
      <c r="AG70" s="206"/>
      <c r="AH70" s="206"/>
      <c r="AI70" s="206"/>
      <c r="AJ70" s="206"/>
      <c r="AK70" s="206"/>
      <c r="AL70" s="206"/>
      <c r="AM70" s="206" t="e">
        <f t="shared" ref="AM70:AM74" si="14">AVERAGE(U70:AC70)</f>
        <v>#DIV/0!</v>
      </c>
      <c r="AN70" s="89">
        <v>3.67</v>
      </c>
      <c r="AO70" s="206"/>
      <c r="AP70" s="225"/>
      <c r="AQ70" s="226">
        <f t="shared" si="10"/>
        <v>0</v>
      </c>
      <c r="AR70" s="224">
        <f t="shared" si="11"/>
        <v>633905.21799999999</v>
      </c>
      <c r="AS70" s="206">
        <f t="shared" si="12"/>
        <v>3049240.4240000001</v>
      </c>
      <c r="AT70" s="206">
        <f t="shared" si="13"/>
        <v>56.365000000000002</v>
      </c>
      <c r="AU70" s="222"/>
      <c r="AV70" s="208"/>
      <c r="AW70" s="224">
        <f>AQ70-'Estacas Hurd'!AQ70</f>
        <v>0.45999999999999996</v>
      </c>
      <c r="AX70" s="206"/>
    </row>
    <row r="71" spans="1:50" x14ac:dyDescent="0.6">
      <c r="A71" s="201" t="s">
        <v>163</v>
      </c>
      <c r="B71" s="217"/>
      <c r="C71" s="218"/>
      <c r="D71" s="84" t="s">
        <v>237</v>
      </c>
      <c r="E71" s="217"/>
      <c r="F71" s="228"/>
      <c r="G71" s="235"/>
      <c r="H71" s="232"/>
      <c r="I71" s="209"/>
      <c r="J71" s="209"/>
      <c r="K71" s="208"/>
      <c r="L71" s="208"/>
      <c r="M71" s="208"/>
      <c r="N71" s="208"/>
      <c r="O71" s="208"/>
      <c r="P71" s="219"/>
      <c r="Q71" s="206"/>
      <c r="R71" s="206"/>
      <c r="S71" s="220">
        <v>90</v>
      </c>
      <c r="T71" s="206"/>
      <c r="U71" s="206"/>
      <c r="V71" s="206"/>
      <c r="W71" s="206"/>
      <c r="X71" s="206"/>
      <c r="Y71" s="206"/>
      <c r="Z71" s="206"/>
      <c r="AA71" s="206"/>
      <c r="AB71" s="206"/>
      <c r="AC71" s="206"/>
      <c r="AD71" s="206"/>
      <c r="AE71" s="206"/>
      <c r="AF71" s="206"/>
      <c r="AG71" s="206"/>
      <c r="AH71" s="206"/>
      <c r="AI71" s="206"/>
      <c r="AJ71" s="206"/>
      <c r="AK71" s="206"/>
      <c r="AL71" s="206"/>
      <c r="AM71" s="206" t="e">
        <f t="shared" si="14"/>
        <v>#DIV/0!</v>
      </c>
      <c r="AN71" s="89">
        <v>3.67</v>
      </c>
      <c r="AO71" s="206"/>
      <c r="AP71" s="225"/>
      <c r="AQ71" s="226">
        <f t="shared" si="10"/>
        <v>0</v>
      </c>
      <c r="AR71" s="224">
        <f t="shared" si="11"/>
        <v>633905.21799999999</v>
      </c>
      <c r="AS71" s="206">
        <f t="shared" si="12"/>
        <v>3049240.4240000001</v>
      </c>
      <c r="AT71" s="206">
        <f t="shared" si="13"/>
        <v>56.365000000000002</v>
      </c>
      <c r="AU71" s="222"/>
      <c r="AV71" s="208"/>
      <c r="AW71" s="224">
        <f>AQ71-'Estacas Hurd'!AQ71</f>
        <v>-0.71</v>
      </c>
      <c r="AX71" s="206"/>
    </row>
    <row r="72" spans="1:50" x14ac:dyDescent="0.6">
      <c r="A72" s="201" t="s">
        <v>164</v>
      </c>
      <c r="B72" s="217"/>
      <c r="C72" s="218"/>
      <c r="D72" s="84" t="s">
        <v>237</v>
      </c>
      <c r="E72" s="217"/>
      <c r="F72" s="228"/>
      <c r="G72" s="235"/>
      <c r="H72" s="232"/>
      <c r="I72" s="209"/>
      <c r="J72" s="209"/>
      <c r="K72" s="208"/>
      <c r="L72" s="208"/>
      <c r="M72" s="208"/>
      <c r="N72" s="208"/>
      <c r="O72" s="208"/>
      <c r="P72" s="219"/>
      <c r="Q72" s="206"/>
      <c r="R72" s="206"/>
      <c r="S72" s="220">
        <v>90</v>
      </c>
      <c r="T72" s="206"/>
      <c r="U72" s="206"/>
      <c r="V72" s="206"/>
      <c r="W72" s="206"/>
      <c r="X72" s="206"/>
      <c r="Y72" s="206"/>
      <c r="Z72" s="206"/>
      <c r="AA72" s="206"/>
      <c r="AB72" s="206"/>
      <c r="AC72" s="206"/>
      <c r="AD72" s="206"/>
      <c r="AE72" s="206"/>
      <c r="AF72" s="206"/>
      <c r="AG72" s="206"/>
      <c r="AH72" s="206"/>
      <c r="AI72" s="206"/>
      <c r="AJ72" s="206"/>
      <c r="AK72" s="206"/>
      <c r="AL72" s="206"/>
      <c r="AM72" s="206" t="e">
        <f t="shared" si="14"/>
        <v>#DIV/0!</v>
      </c>
      <c r="AN72" s="89">
        <v>3.67</v>
      </c>
      <c r="AO72" s="206"/>
      <c r="AP72" s="225"/>
      <c r="AQ72" s="226">
        <f t="shared" si="10"/>
        <v>0</v>
      </c>
      <c r="AR72" s="224">
        <f t="shared" si="11"/>
        <v>633905.21799999999</v>
      </c>
      <c r="AS72" s="206">
        <f t="shared" si="12"/>
        <v>3049240.4240000001</v>
      </c>
      <c r="AT72" s="206">
        <f t="shared" si="13"/>
        <v>56.365000000000002</v>
      </c>
      <c r="AU72" s="222"/>
      <c r="AV72" s="208"/>
      <c r="AW72" s="224">
        <f>AQ72-'Estacas Hurd'!AQ72</f>
        <v>-0.18000000000000016</v>
      </c>
      <c r="AX72" s="206"/>
    </row>
    <row r="73" spans="1:50" x14ac:dyDescent="0.6">
      <c r="A73" s="93" t="s">
        <v>165</v>
      </c>
      <c r="B73" s="94"/>
      <c r="C73" s="95"/>
      <c r="D73" s="93"/>
      <c r="E73" s="94"/>
      <c r="F73" s="95"/>
      <c r="G73" s="237"/>
      <c r="H73" s="230"/>
      <c r="I73" s="210"/>
      <c r="J73" s="210"/>
      <c r="K73" s="211"/>
      <c r="L73" s="210"/>
      <c r="M73" s="212"/>
      <c r="N73" s="212"/>
      <c r="O73" s="212"/>
      <c r="P73" s="204"/>
      <c r="Q73" s="98"/>
      <c r="R73" s="99"/>
      <c r="S73" s="100"/>
      <c r="T73" s="100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2"/>
      <c r="AO73" s="101"/>
      <c r="AP73" s="103"/>
      <c r="AQ73" s="99"/>
      <c r="AR73" s="132"/>
      <c r="AS73" s="96"/>
      <c r="AT73" s="96"/>
      <c r="AU73" s="97"/>
      <c r="AV73" s="104"/>
      <c r="AW73" s="133"/>
      <c r="AX73" s="100"/>
    </row>
    <row r="74" spans="1:50" x14ac:dyDescent="0.6">
      <c r="A74" s="201" t="s">
        <v>166</v>
      </c>
      <c r="B74" s="217"/>
      <c r="C74" s="218"/>
      <c r="D74" s="84" t="s">
        <v>237</v>
      </c>
      <c r="E74" s="217"/>
      <c r="F74" s="228"/>
      <c r="G74" s="235"/>
      <c r="H74" s="232"/>
      <c r="I74" s="209"/>
      <c r="J74" s="209"/>
      <c r="K74" s="208"/>
      <c r="L74" s="208"/>
      <c r="M74" s="208"/>
      <c r="N74" s="208"/>
      <c r="O74" s="208"/>
      <c r="P74" s="219"/>
      <c r="Q74" s="206"/>
      <c r="R74" s="206"/>
      <c r="S74" s="220">
        <v>90</v>
      </c>
      <c r="T74" s="206"/>
      <c r="U74" s="206"/>
      <c r="V74" s="206"/>
      <c r="W74" s="206"/>
      <c r="X74" s="206"/>
      <c r="Y74" s="206"/>
      <c r="Z74" s="206"/>
      <c r="AA74" s="206"/>
      <c r="AB74" s="206"/>
      <c r="AC74" s="206"/>
      <c r="AD74" s="206"/>
      <c r="AE74" s="206"/>
      <c r="AF74" s="206"/>
      <c r="AG74" s="206"/>
      <c r="AH74" s="206"/>
      <c r="AI74" s="206"/>
      <c r="AJ74" s="206"/>
      <c r="AK74" s="206"/>
      <c r="AL74" s="206"/>
      <c r="AM74" s="206" t="e">
        <f t="shared" si="14"/>
        <v>#DIV/0!</v>
      </c>
      <c r="AN74" s="89">
        <v>3.67</v>
      </c>
      <c r="AO74" s="206"/>
      <c r="AP74" s="225"/>
      <c r="AQ74" s="226">
        <f t="shared" si="10"/>
        <v>0</v>
      </c>
      <c r="AR74" s="224">
        <f t="shared" si="11"/>
        <v>633905.21799999999</v>
      </c>
      <c r="AS74" s="206">
        <f t="shared" si="12"/>
        <v>3049240.4240000001</v>
      </c>
      <c r="AT74" s="206">
        <f t="shared" si="13"/>
        <v>56.365000000000002</v>
      </c>
      <c r="AU74" s="222"/>
      <c r="AV74" s="208"/>
      <c r="AW74" s="224">
        <f>AQ74-'Estacas Hurd'!AQ74</f>
        <v>-1.21</v>
      </c>
      <c r="AX74" s="206"/>
    </row>
    <row r="75" spans="1:50" x14ac:dyDescent="0.6">
      <c r="A75" s="201" t="s">
        <v>262</v>
      </c>
      <c r="B75" s="217"/>
      <c r="C75" s="218"/>
      <c r="D75" s="84" t="s">
        <v>237</v>
      </c>
      <c r="E75" s="217"/>
      <c r="F75" s="228"/>
      <c r="G75" s="235"/>
      <c r="H75" s="232"/>
      <c r="I75" s="209"/>
      <c r="J75" s="209"/>
      <c r="K75" s="208"/>
      <c r="L75" s="208"/>
      <c r="M75" s="208"/>
      <c r="N75" s="208"/>
      <c r="O75" s="208"/>
      <c r="P75" s="219"/>
      <c r="Q75" s="206"/>
      <c r="R75" s="206"/>
      <c r="S75" s="220">
        <v>90</v>
      </c>
      <c r="T75" s="206"/>
      <c r="U75" s="206"/>
      <c r="V75" s="206"/>
      <c r="W75" s="206"/>
      <c r="X75" s="206"/>
      <c r="Y75" s="206"/>
      <c r="Z75" s="206"/>
      <c r="AA75" s="206"/>
      <c r="AB75" s="206"/>
      <c r="AC75" s="206"/>
      <c r="AD75" s="206"/>
      <c r="AE75" s="206"/>
      <c r="AF75" s="206"/>
      <c r="AG75" s="206"/>
      <c r="AH75" s="206"/>
      <c r="AI75" s="206"/>
      <c r="AJ75" s="206"/>
      <c r="AK75" s="206"/>
      <c r="AL75" s="206"/>
      <c r="AM75" s="206" t="e">
        <f t="shared" ref="AM75" si="15">AVERAGE(U75:AC75)</f>
        <v>#DIV/0!</v>
      </c>
      <c r="AN75" s="89">
        <v>3.67</v>
      </c>
      <c r="AO75" s="206"/>
      <c r="AP75" s="225"/>
      <c r="AQ75" s="226">
        <f t="shared" ref="AQ75" si="16">AN75-(AN75-Q75)*(SIN((S75+AX75)*PI()/180))/(COS(AX75*PI()/180))</f>
        <v>0</v>
      </c>
      <c r="AR75" s="224">
        <f t="shared" ref="AR75" si="17">H75+($M$1-M75)-(AN75-Q75)*(COS(S75*PI()/180))*(SIN((T75+13+2.3)*PI()/180))</f>
        <v>633905.21799999999</v>
      </c>
      <c r="AS75" s="206">
        <f t="shared" ref="AS75" si="18">I75+($N$1-N75)-(AN75-Q75)*(COS(S75*PI()/180))*(COS((T75+13+2.3)*PI()/180))</f>
        <v>3049240.4240000001</v>
      </c>
      <c r="AT75" s="206">
        <f t="shared" ref="AT75" si="19">J75+($O$1-O75)-R75+AN75-(AN75-Q75)*(SIN(S75*PI()/180))-L75</f>
        <v>56.365000000000002</v>
      </c>
      <c r="AU75" s="222"/>
      <c r="AV75" s="208"/>
      <c r="AW75" s="224">
        <f>AQ75-'Estacas Hurd'!AQ75</f>
        <v>0.71999999999999975</v>
      </c>
      <c r="AX75" s="206"/>
    </row>
    <row r="76" spans="1:50" x14ac:dyDescent="0.6">
      <c r="A76" s="14" t="s">
        <v>270</v>
      </c>
      <c r="B76" s="217"/>
      <c r="C76" s="218"/>
      <c r="D76" s="84" t="s">
        <v>237</v>
      </c>
      <c r="E76" s="217"/>
      <c r="F76" s="228"/>
      <c r="G76" s="235"/>
      <c r="H76" s="232"/>
      <c r="I76" s="209"/>
      <c r="J76" s="209"/>
      <c r="K76" s="208"/>
      <c r="L76" s="208"/>
      <c r="M76" s="208"/>
      <c r="N76" s="208"/>
      <c r="O76" s="208"/>
      <c r="P76" s="219"/>
      <c r="Q76" s="206"/>
      <c r="R76" s="206"/>
      <c r="S76" s="220">
        <v>90</v>
      </c>
      <c r="T76" s="206"/>
      <c r="U76" s="206"/>
      <c r="V76" s="206"/>
      <c r="W76" s="206"/>
      <c r="X76" s="206"/>
      <c r="Y76" s="206"/>
      <c r="Z76" s="206"/>
      <c r="AA76" s="206"/>
      <c r="AB76" s="206"/>
      <c r="AC76" s="206"/>
      <c r="AD76" s="206"/>
      <c r="AE76" s="206"/>
      <c r="AF76" s="206"/>
      <c r="AG76" s="206"/>
      <c r="AH76" s="206"/>
      <c r="AI76" s="206"/>
      <c r="AJ76" s="206"/>
      <c r="AK76" s="206"/>
      <c r="AL76" s="206"/>
      <c r="AM76" s="206" t="e">
        <f t="shared" ref="AM76:AM79" si="20">AVERAGE(U76:AC76)</f>
        <v>#DIV/0!</v>
      </c>
      <c r="AN76" s="89">
        <v>3.67</v>
      </c>
      <c r="AO76" s="206"/>
      <c r="AP76" s="225"/>
      <c r="AQ76" s="226">
        <f t="shared" ref="AQ76:AQ79" si="21">AN76-(AN76-Q76)*(SIN((S76+AX76)*PI()/180))/(COS(AX76*PI()/180))</f>
        <v>0</v>
      </c>
      <c r="AR76" s="224">
        <f t="shared" ref="AR76:AR79" si="22">H76+($M$1-M76)-(AN76-Q76)*(COS(S76*PI()/180))*(SIN((T76+13+2.3)*PI()/180))</f>
        <v>633905.21799999999</v>
      </c>
      <c r="AS76" s="206">
        <f t="shared" ref="AS76:AS79" si="23">I76+($N$1-N76)-(AN76-Q76)*(COS(S76*PI()/180))*(COS((T76+13+2.3)*PI()/180))</f>
        <v>3049240.4240000001</v>
      </c>
      <c r="AT76" s="206">
        <f t="shared" ref="AT76:AT79" si="24">J76+($O$1-O76)-R76+AN76-(AN76-Q76)*(SIN(S76*PI()/180))-L76</f>
        <v>56.365000000000002</v>
      </c>
      <c r="AU76" s="222"/>
      <c r="AV76" s="208"/>
      <c r="AW76" s="224">
        <f>AQ76-'Estacas Hurd'!AQ76</f>
        <v>-1.02</v>
      </c>
      <c r="AX76" s="206"/>
    </row>
    <row r="77" spans="1:50" x14ac:dyDescent="0.6">
      <c r="A77" s="14" t="s">
        <v>271</v>
      </c>
      <c r="B77" s="217"/>
      <c r="C77" s="218"/>
      <c r="D77" s="84" t="s">
        <v>237</v>
      </c>
      <c r="E77" s="217"/>
      <c r="F77" s="228"/>
      <c r="G77" s="235"/>
      <c r="H77" s="232"/>
      <c r="I77" s="209"/>
      <c r="J77" s="209"/>
      <c r="K77" s="208"/>
      <c r="L77" s="208"/>
      <c r="M77" s="208"/>
      <c r="N77" s="208"/>
      <c r="O77" s="208"/>
      <c r="P77" s="219"/>
      <c r="Q77" s="206"/>
      <c r="R77" s="206"/>
      <c r="S77" s="220">
        <v>90</v>
      </c>
      <c r="T77" s="206"/>
      <c r="U77" s="206"/>
      <c r="V77" s="206"/>
      <c r="W77" s="206"/>
      <c r="X77" s="206"/>
      <c r="Y77" s="206"/>
      <c r="Z77" s="206"/>
      <c r="AA77" s="206"/>
      <c r="AB77" s="206"/>
      <c r="AC77" s="206"/>
      <c r="AD77" s="206"/>
      <c r="AE77" s="206"/>
      <c r="AF77" s="206"/>
      <c r="AG77" s="206"/>
      <c r="AH77" s="206"/>
      <c r="AI77" s="206"/>
      <c r="AJ77" s="206"/>
      <c r="AK77" s="206"/>
      <c r="AL77" s="206"/>
      <c r="AM77" s="206" t="e">
        <f t="shared" si="20"/>
        <v>#DIV/0!</v>
      </c>
      <c r="AN77" s="89">
        <v>3.67</v>
      </c>
      <c r="AO77" s="206"/>
      <c r="AP77" s="225"/>
      <c r="AQ77" s="226">
        <f t="shared" si="21"/>
        <v>0</v>
      </c>
      <c r="AR77" s="224">
        <f t="shared" si="22"/>
        <v>633905.21799999999</v>
      </c>
      <c r="AS77" s="206">
        <f t="shared" si="23"/>
        <v>3049240.4240000001</v>
      </c>
      <c r="AT77" s="206">
        <f t="shared" si="24"/>
        <v>56.365000000000002</v>
      </c>
      <c r="AU77" s="222"/>
      <c r="AV77" s="208"/>
      <c r="AW77" s="224">
        <f>AQ77-'Estacas Hurd'!AQ77</f>
        <v>-0.91999999999999993</v>
      </c>
      <c r="AX77" s="206"/>
    </row>
    <row r="78" spans="1:50" x14ac:dyDescent="0.6">
      <c r="A78" s="14" t="s">
        <v>272</v>
      </c>
      <c r="B78" s="217"/>
      <c r="C78" s="218"/>
      <c r="D78" s="84" t="s">
        <v>237</v>
      </c>
      <c r="E78" s="217"/>
      <c r="F78" s="228"/>
      <c r="G78" s="235"/>
      <c r="H78" s="232"/>
      <c r="I78" s="209"/>
      <c r="J78" s="209"/>
      <c r="K78" s="208"/>
      <c r="L78" s="208"/>
      <c r="M78" s="208"/>
      <c r="N78" s="208"/>
      <c r="O78" s="208"/>
      <c r="P78" s="219"/>
      <c r="Q78" s="206"/>
      <c r="R78" s="206"/>
      <c r="S78" s="220">
        <v>90</v>
      </c>
      <c r="T78" s="206"/>
      <c r="U78" s="206"/>
      <c r="V78" s="206"/>
      <c r="W78" s="206"/>
      <c r="X78" s="206"/>
      <c r="Y78" s="206"/>
      <c r="Z78" s="206"/>
      <c r="AA78" s="206"/>
      <c r="AB78" s="206"/>
      <c r="AC78" s="206"/>
      <c r="AD78" s="206"/>
      <c r="AE78" s="206"/>
      <c r="AF78" s="206"/>
      <c r="AG78" s="206"/>
      <c r="AH78" s="206"/>
      <c r="AI78" s="206"/>
      <c r="AJ78" s="206"/>
      <c r="AK78" s="206"/>
      <c r="AL78" s="206"/>
      <c r="AM78" s="206" t="e">
        <f t="shared" si="20"/>
        <v>#DIV/0!</v>
      </c>
      <c r="AN78" s="89">
        <v>3.67</v>
      </c>
      <c r="AO78" s="206"/>
      <c r="AP78" s="225"/>
      <c r="AQ78" s="226">
        <f t="shared" si="21"/>
        <v>0</v>
      </c>
      <c r="AR78" s="224">
        <f t="shared" si="22"/>
        <v>633905.21799999999</v>
      </c>
      <c r="AS78" s="206">
        <f t="shared" si="23"/>
        <v>3049240.4240000001</v>
      </c>
      <c r="AT78" s="206">
        <f t="shared" si="24"/>
        <v>56.365000000000002</v>
      </c>
      <c r="AU78" s="222"/>
      <c r="AV78" s="208"/>
      <c r="AW78" s="224">
        <f>AQ78-'Estacas Hurd'!AQ78</f>
        <v>-0.24000000000000021</v>
      </c>
      <c r="AX78" s="206"/>
    </row>
    <row r="79" spans="1:50" x14ac:dyDescent="0.6">
      <c r="A79" s="14" t="s">
        <v>273</v>
      </c>
      <c r="B79" s="217"/>
      <c r="C79" s="218"/>
      <c r="D79" s="84" t="s">
        <v>237</v>
      </c>
      <c r="E79" s="217"/>
      <c r="F79" s="228"/>
      <c r="G79" s="235"/>
      <c r="H79" s="232"/>
      <c r="I79" s="209"/>
      <c r="J79" s="209"/>
      <c r="K79" s="208"/>
      <c r="L79" s="208"/>
      <c r="M79" s="208"/>
      <c r="N79" s="208"/>
      <c r="O79" s="208"/>
      <c r="P79" s="219"/>
      <c r="Q79" s="206"/>
      <c r="R79" s="206"/>
      <c r="S79" s="220">
        <v>90</v>
      </c>
      <c r="T79" s="206"/>
      <c r="U79" s="206"/>
      <c r="V79" s="206"/>
      <c r="W79" s="206"/>
      <c r="X79" s="206"/>
      <c r="Y79" s="206"/>
      <c r="Z79" s="206"/>
      <c r="AA79" s="206"/>
      <c r="AB79" s="206"/>
      <c r="AC79" s="206"/>
      <c r="AD79" s="206"/>
      <c r="AE79" s="206"/>
      <c r="AF79" s="206"/>
      <c r="AG79" s="206"/>
      <c r="AH79" s="206"/>
      <c r="AI79" s="206"/>
      <c r="AJ79" s="206"/>
      <c r="AK79" s="206"/>
      <c r="AL79" s="206"/>
      <c r="AM79" s="206" t="e">
        <f t="shared" si="20"/>
        <v>#DIV/0!</v>
      </c>
      <c r="AN79" s="89">
        <v>3.67</v>
      </c>
      <c r="AO79" s="206"/>
      <c r="AP79" s="225"/>
      <c r="AQ79" s="226">
        <f t="shared" si="21"/>
        <v>0</v>
      </c>
      <c r="AR79" s="224">
        <f t="shared" si="22"/>
        <v>633905.21799999999</v>
      </c>
      <c r="AS79" s="206">
        <f t="shared" si="23"/>
        <v>3049240.4240000001</v>
      </c>
      <c r="AT79" s="206">
        <f t="shared" si="24"/>
        <v>56.365000000000002</v>
      </c>
      <c r="AU79" s="222"/>
      <c r="AV79" s="208"/>
      <c r="AW79" s="224">
        <f>AQ79-'Estacas Hurd'!AQ79</f>
        <v>-0.43999999999999995</v>
      </c>
      <c r="AX79" s="206"/>
    </row>
  </sheetData>
  <sheetProtection selectLockedCells="1" selectUnlockedCells="1"/>
  <phoneticPr fontId="24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X79"/>
  <sheetViews>
    <sheetView tabSelected="1" zoomScaleNormal="100" workbookViewId="0">
      <pane xSplit="1" ySplit="3" topLeftCell="P55" activePane="bottomRight" state="frozen"/>
      <selection pane="topRight" activeCell="B1" sqref="B1"/>
      <selection pane="bottomLeft" activeCell="A23" sqref="A23"/>
      <selection pane="bottomRight" activeCell="L81" sqref="L81"/>
    </sheetView>
  </sheetViews>
  <sheetFormatPr baseColWidth="10" defaultColWidth="11.2265625" defaultRowHeight="13" x14ac:dyDescent="0.6"/>
  <cols>
    <col min="1" max="4" width="9.453125" style="14" customWidth="1"/>
    <col min="5" max="5" width="9.453125" style="15" customWidth="1"/>
    <col min="6" max="6" width="9.2265625" style="16" customWidth="1"/>
    <col min="7" max="7" width="15.54296875" style="17" customWidth="1"/>
    <col min="8" max="10" width="12" style="17" customWidth="1"/>
    <col min="11" max="11" width="7.2265625" style="14" customWidth="1"/>
    <col min="12" max="12" width="8.76953125" style="14" customWidth="1"/>
    <col min="13" max="15" width="12" style="14" customWidth="1"/>
    <col min="16" max="16" width="30.54296875" style="18" customWidth="1"/>
    <col min="17" max="20" width="6.54296875" style="19" customWidth="1"/>
    <col min="21" max="38" width="4.54296875" style="19" customWidth="1"/>
    <col min="39" max="39" width="8.54296875" style="19" customWidth="1"/>
    <col min="40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11.2265625" style="18" customWidth="1"/>
    <col min="50" max="50" width="6.54296875" style="19" customWidth="1"/>
    <col min="51" max="16384" width="11.2265625" style="18"/>
  </cols>
  <sheetData>
    <row r="1" spans="1:50" s="34" customFormat="1" ht="16" x14ac:dyDescent="0.9">
      <c r="A1" s="20" t="s">
        <v>42</v>
      </c>
      <c r="B1" s="174" t="s">
        <v>269</v>
      </c>
      <c r="C1" s="21" t="s">
        <v>43</v>
      </c>
      <c r="D1" s="22" t="s">
        <v>267</v>
      </c>
      <c r="E1" s="23" t="s">
        <v>44</v>
      </c>
      <c r="F1" s="24" t="s">
        <v>268</v>
      </c>
      <c r="G1" s="25" t="s">
        <v>46</v>
      </c>
      <c r="H1" s="123" t="s">
        <v>47</v>
      </c>
      <c r="I1" s="27"/>
      <c r="J1" s="26"/>
      <c r="K1" s="245"/>
      <c r="L1" s="240" t="s">
        <v>48</v>
      </c>
      <c r="M1" s="30">
        <v>633905.23300000001</v>
      </c>
      <c r="N1" s="30">
        <v>3049240.4479999999</v>
      </c>
      <c r="O1" s="30">
        <f>56.39-0.11</f>
        <v>56.28</v>
      </c>
      <c r="P1" s="308" t="s">
        <v>295</v>
      </c>
      <c r="Q1" s="125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V1" s="35"/>
      <c r="AX1" s="33"/>
    </row>
    <row r="2" spans="1:50" ht="16" x14ac:dyDescent="0.9">
      <c r="A2" s="36" t="s">
        <v>49</v>
      </c>
      <c r="B2" s="37" t="s">
        <v>50</v>
      </c>
      <c r="C2" s="38" t="s">
        <v>51</v>
      </c>
      <c r="D2" s="37" t="s">
        <v>52</v>
      </c>
      <c r="E2" s="39" t="s">
        <v>53</v>
      </c>
      <c r="F2" s="40" t="s">
        <v>54</v>
      </c>
      <c r="G2" s="41" t="s">
        <v>55</v>
      </c>
      <c r="H2" s="42" t="s">
        <v>1</v>
      </c>
      <c r="I2" s="43" t="s">
        <v>3</v>
      </c>
      <c r="J2" s="43" t="s">
        <v>5</v>
      </c>
      <c r="K2" s="246" t="s">
        <v>56</v>
      </c>
      <c r="L2" s="241" t="s">
        <v>57</v>
      </c>
      <c r="M2" s="45" t="s">
        <v>11</v>
      </c>
      <c r="N2" s="45" t="s">
        <v>58</v>
      </c>
      <c r="O2" s="45" t="s">
        <v>15</v>
      </c>
      <c r="P2" s="46" t="s">
        <v>59</v>
      </c>
      <c r="Q2" s="47" t="s">
        <v>60</v>
      </c>
      <c r="R2" s="48" t="s">
        <v>61</v>
      </c>
      <c r="S2" s="49" t="s">
        <v>22</v>
      </c>
      <c r="T2" s="50" t="s">
        <v>24</v>
      </c>
      <c r="U2" s="51"/>
      <c r="V2" s="52"/>
      <c r="W2" s="52"/>
      <c r="X2" s="52"/>
      <c r="Y2" s="52" t="s">
        <v>62</v>
      </c>
      <c r="Z2" s="52"/>
      <c r="AA2" s="52"/>
      <c r="AB2" s="52"/>
      <c r="AC2" s="53"/>
      <c r="AD2" s="52"/>
      <c r="AE2" s="52"/>
      <c r="AF2" s="52"/>
      <c r="AG2" s="52"/>
      <c r="AH2" s="52" t="s">
        <v>63</v>
      </c>
      <c r="AI2" s="52"/>
      <c r="AJ2" s="52"/>
      <c r="AK2" s="52"/>
      <c r="AL2" s="54"/>
      <c r="AM2" s="55" t="s">
        <v>64</v>
      </c>
      <c r="AN2" s="56" t="s">
        <v>65</v>
      </c>
      <c r="AO2" s="57" t="s">
        <v>66</v>
      </c>
      <c r="AP2" s="46" t="s">
        <v>67</v>
      </c>
      <c r="AQ2" s="58" t="s">
        <v>68</v>
      </c>
      <c r="AR2" s="59" t="s">
        <v>69</v>
      </c>
      <c r="AS2" s="60" t="s">
        <v>70</v>
      </c>
      <c r="AT2" s="60" t="s">
        <v>71</v>
      </c>
      <c r="AU2" s="51" t="s">
        <v>72</v>
      </c>
      <c r="AV2" s="46" t="s">
        <v>73</v>
      </c>
      <c r="AX2" s="50" t="s">
        <v>26</v>
      </c>
    </row>
    <row r="3" spans="1:50" x14ac:dyDescent="0.6">
      <c r="B3" s="61" t="s">
        <v>74</v>
      </c>
      <c r="C3" s="62" t="s">
        <v>75</v>
      </c>
      <c r="D3" s="63" t="s">
        <v>76</v>
      </c>
      <c r="E3" s="64" t="s">
        <v>77</v>
      </c>
      <c r="F3" s="64" t="s">
        <v>77</v>
      </c>
      <c r="G3" s="337"/>
      <c r="H3" s="66" t="s">
        <v>78</v>
      </c>
      <c r="I3" s="67" t="s">
        <v>79</v>
      </c>
      <c r="J3" s="68" t="s">
        <v>80</v>
      </c>
      <c r="K3" s="78"/>
      <c r="M3" s="71" t="s">
        <v>81</v>
      </c>
      <c r="N3" s="67" t="s">
        <v>82</v>
      </c>
      <c r="O3" s="68" t="s">
        <v>83</v>
      </c>
      <c r="P3" s="72"/>
      <c r="Q3" s="73" t="s">
        <v>84</v>
      </c>
      <c r="R3" s="74" t="s">
        <v>84</v>
      </c>
      <c r="S3" s="75" t="s">
        <v>85</v>
      </c>
      <c r="T3" s="75" t="s">
        <v>85</v>
      </c>
      <c r="U3" s="75" t="s">
        <v>86</v>
      </c>
      <c r="V3" s="75" t="s">
        <v>87</v>
      </c>
      <c r="W3" s="75" t="s">
        <v>88</v>
      </c>
      <c r="X3" s="75" t="s">
        <v>89</v>
      </c>
      <c r="Y3" s="75" t="s">
        <v>90</v>
      </c>
      <c r="Z3" s="75" t="s">
        <v>91</v>
      </c>
      <c r="AA3" s="75" t="s">
        <v>92</v>
      </c>
      <c r="AB3" s="75" t="s">
        <v>93</v>
      </c>
      <c r="AC3" s="76" t="s">
        <v>94</v>
      </c>
      <c r="AD3" s="74" t="s">
        <v>86</v>
      </c>
      <c r="AE3" s="75" t="s">
        <v>87</v>
      </c>
      <c r="AF3" s="75" t="s">
        <v>88</v>
      </c>
      <c r="AG3" s="75" t="s">
        <v>89</v>
      </c>
      <c r="AH3" s="75" t="s">
        <v>90</v>
      </c>
      <c r="AI3" s="75" t="s">
        <v>91</v>
      </c>
      <c r="AJ3" s="75" t="s">
        <v>92</v>
      </c>
      <c r="AK3" s="75" t="s">
        <v>93</v>
      </c>
      <c r="AL3" s="75" t="s">
        <v>94</v>
      </c>
      <c r="AM3" s="75" t="s">
        <v>95</v>
      </c>
      <c r="AN3" s="75" t="s">
        <v>96</v>
      </c>
      <c r="AO3" s="75"/>
      <c r="AP3" s="76"/>
      <c r="AQ3" s="74" t="s">
        <v>84</v>
      </c>
      <c r="AR3" s="77" t="s">
        <v>78</v>
      </c>
      <c r="AS3" s="67" t="s">
        <v>79</v>
      </c>
      <c r="AT3" s="68" t="s">
        <v>80</v>
      </c>
      <c r="AV3" s="78"/>
      <c r="AX3" s="137"/>
    </row>
    <row r="4" spans="1:50" x14ac:dyDescent="0.6">
      <c r="A4" s="69"/>
      <c r="B4" s="69"/>
      <c r="C4" s="69"/>
      <c r="D4" s="69"/>
      <c r="E4" s="61"/>
      <c r="G4" s="80"/>
      <c r="H4" s="74"/>
      <c r="I4" s="75"/>
      <c r="J4" s="74"/>
      <c r="K4" s="78"/>
      <c r="L4" s="19"/>
      <c r="M4" s="70"/>
      <c r="N4" s="70"/>
      <c r="O4" s="70"/>
      <c r="P4" s="72"/>
      <c r="Q4" s="73"/>
      <c r="R4" s="74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4"/>
      <c r="AR4" s="83"/>
      <c r="AS4" s="81"/>
      <c r="AT4" s="81"/>
      <c r="AV4" s="78"/>
      <c r="AX4" s="75"/>
    </row>
    <row r="5" spans="1:50" x14ac:dyDescent="0.6">
      <c r="A5" s="138" t="s">
        <v>169</v>
      </c>
      <c r="B5" s="139"/>
      <c r="C5" s="139"/>
      <c r="D5" s="139"/>
      <c r="E5" s="140"/>
      <c r="F5" s="141"/>
      <c r="G5" s="142"/>
      <c r="H5" s="143"/>
      <c r="I5" s="144"/>
      <c r="J5" s="144"/>
      <c r="K5" s="247"/>
      <c r="L5" s="242"/>
      <c r="M5" s="146"/>
      <c r="N5" s="146"/>
      <c r="O5" s="146"/>
      <c r="P5" s="147"/>
      <c r="Q5" s="148"/>
      <c r="R5" s="143"/>
      <c r="S5" s="149"/>
      <c r="T5" s="149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50"/>
      <c r="AO5" s="151"/>
      <c r="AP5" s="152"/>
      <c r="AQ5" s="143"/>
      <c r="AR5" s="145"/>
      <c r="AS5" s="145"/>
      <c r="AT5" s="145"/>
      <c r="AU5" s="139"/>
      <c r="AV5" s="153"/>
      <c r="AX5" s="149"/>
    </row>
    <row r="6" spans="1:50" x14ac:dyDescent="0.6">
      <c r="A6" s="154" t="s">
        <v>170</v>
      </c>
      <c r="B6" s="105"/>
      <c r="C6" s="105"/>
      <c r="D6" s="105"/>
      <c r="E6" s="155"/>
      <c r="F6" s="250"/>
      <c r="G6" s="108"/>
      <c r="H6" s="109"/>
      <c r="I6" s="110"/>
      <c r="J6" s="110"/>
      <c r="K6" s="248"/>
      <c r="L6" s="243"/>
      <c r="M6" s="134"/>
      <c r="N6" s="134"/>
      <c r="O6" s="134"/>
      <c r="P6" s="113"/>
      <c r="Q6" s="114"/>
      <c r="R6" s="109"/>
      <c r="S6" s="115"/>
      <c r="T6" s="115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6"/>
      <c r="AO6" s="156"/>
      <c r="AP6" s="118"/>
      <c r="AQ6" s="109"/>
      <c r="AR6" s="111"/>
      <c r="AS6" s="111"/>
      <c r="AT6" s="111"/>
      <c r="AU6" s="105"/>
      <c r="AV6" s="119"/>
      <c r="AX6" s="115"/>
    </row>
    <row r="7" spans="1:50" x14ac:dyDescent="0.6">
      <c r="A7" s="157" t="s">
        <v>171</v>
      </c>
      <c r="B7" s="84" t="s">
        <v>329</v>
      </c>
      <c r="C7" s="84" t="s">
        <v>330</v>
      </c>
      <c r="D7" s="84" t="s">
        <v>261</v>
      </c>
      <c r="E7" s="85"/>
      <c r="G7" s="86" t="s">
        <v>331</v>
      </c>
      <c r="H7" s="74">
        <v>635059.20700000005</v>
      </c>
      <c r="I7" s="75">
        <v>3047841.622</v>
      </c>
      <c r="J7" s="75">
        <v>222.18</v>
      </c>
      <c r="K7" s="330" t="s">
        <v>279</v>
      </c>
      <c r="L7" s="329">
        <v>1.96</v>
      </c>
      <c r="M7" s="269">
        <v>633905.23300000001</v>
      </c>
      <c r="N7" s="269">
        <v>3049240.4479999999</v>
      </c>
      <c r="O7" s="269">
        <v>56.39</v>
      </c>
      <c r="P7" s="87" t="s">
        <v>342</v>
      </c>
      <c r="Q7" s="73">
        <v>-0.05</v>
      </c>
      <c r="R7" s="74">
        <v>1.91</v>
      </c>
      <c r="S7" s="88">
        <v>90</v>
      </c>
      <c r="T7" s="79"/>
      <c r="U7" s="75">
        <v>1.87</v>
      </c>
      <c r="V7" s="75">
        <v>1.94</v>
      </c>
      <c r="W7" s="75">
        <v>1.79</v>
      </c>
      <c r="X7" s="75">
        <v>1.7</v>
      </c>
      <c r="Y7" s="75">
        <v>1.69</v>
      </c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>
        <f>AVERAGE(U7:AC7)</f>
        <v>1.798</v>
      </c>
      <c r="AN7" s="89">
        <v>3.67</v>
      </c>
      <c r="AO7"/>
      <c r="AP7" s="76"/>
      <c r="AQ7" s="74">
        <f>AN7-(AN7-Q7)*(SIN((S7+AX7)*PI()/180))/(COS(AX7*PI()/180))</f>
        <v>-4.9999999999999822E-2</v>
      </c>
      <c r="AR7" s="82">
        <f>H7+($M$1-M7)-(AN7-Q7)*(COS(S7*PI()/180))*(SIN((T7+13+2.3)*PI()/180))</f>
        <v>635059.20700000005</v>
      </c>
      <c r="AS7" s="82">
        <f>I7+($N$1-N7)-(AN7-Q7)*(COS(S7*PI()/180))*(COS((T7+13+2.3)*PI()/180))</f>
        <v>3047841.622</v>
      </c>
      <c r="AT7" s="82">
        <f>J7+($O$1-O7)-R7+AN7-(AN7-Q7)*(SIN(S7*PI()/180))-L7</f>
        <v>218.14999999999998</v>
      </c>
      <c r="AU7" s="69"/>
      <c r="AV7" s="92"/>
      <c r="AX7" s="79"/>
    </row>
    <row r="8" spans="1:50" x14ac:dyDescent="0.6">
      <c r="A8" s="154" t="s">
        <v>172</v>
      </c>
      <c r="B8" s="105"/>
      <c r="C8" s="105"/>
      <c r="D8" s="105"/>
      <c r="E8" s="106"/>
      <c r="F8" s="107"/>
      <c r="G8" s="108"/>
      <c r="H8" s="109"/>
      <c r="I8" s="110"/>
      <c r="J8" s="110"/>
      <c r="K8" s="248"/>
      <c r="L8" s="243"/>
      <c r="M8" s="134"/>
      <c r="N8" s="134"/>
      <c r="O8" s="134"/>
      <c r="P8" s="113"/>
      <c r="Q8" s="114"/>
      <c r="R8" s="109"/>
      <c r="S8" s="115"/>
      <c r="T8" s="115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22"/>
      <c r="AO8" s="156"/>
      <c r="AP8" s="118"/>
      <c r="AQ8" s="109"/>
      <c r="AR8" s="111"/>
      <c r="AS8" s="111"/>
      <c r="AT8" s="111"/>
      <c r="AU8" s="105"/>
      <c r="AV8" s="119"/>
      <c r="AX8" s="115"/>
    </row>
    <row r="9" spans="1:50" x14ac:dyDescent="0.6">
      <c r="A9" s="157" t="s">
        <v>173</v>
      </c>
      <c r="B9" s="84" t="s">
        <v>277</v>
      </c>
      <c r="C9" s="84" t="s">
        <v>296</v>
      </c>
      <c r="D9" s="84" t="s">
        <v>261</v>
      </c>
      <c r="E9" s="85"/>
      <c r="G9" s="86" t="s">
        <v>280</v>
      </c>
      <c r="H9" s="19">
        <v>635107.03500000003</v>
      </c>
      <c r="I9" s="19">
        <v>3048207.2680000002</v>
      </c>
      <c r="J9" s="19">
        <v>185.095</v>
      </c>
      <c r="K9" s="330" t="s">
        <v>279</v>
      </c>
      <c r="L9" s="329">
        <v>1.96</v>
      </c>
      <c r="M9" s="269">
        <v>633905.23300000001</v>
      </c>
      <c r="N9" s="269">
        <v>3049240.4479999999</v>
      </c>
      <c r="O9" s="269">
        <v>56.39</v>
      </c>
      <c r="P9" s="239" t="s">
        <v>342</v>
      </c>
      <c r="Q9" s="73">
        <v>-0.25</v>
      </c>
      <c r="R9" s="74">
        <v>1.71</v>
      </c>
      <c r="S9" s="88">
        <v>90</v>
      </c>
      <c r="T9" s="79"/>
      <c r="U9" s="75">
        <v>1.49</v>
      </c>
      <c r="V9" s="75">
        <v>1.53</v>
      </c>
      <c r="W9" s="75">
        <v>1.59</v>
      </c>
      <c r="X9" s="75">
        <v>1.54</v>
      </c>
      <c r="Y9" s="75">
        <v>1.55</v>
      </c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>
        <f>AVERAGE(U9:AC9)</f>
        <v>1.54</v>
      </c>
      <c r="AN9" s="89">
        <v>3.67</v>
      </c>
      <c r="AO9"/>
      <c r="AP9" s="76"/>
      <c r="AQ9" s="74">
        <f>AN9-(AN9-Q9)*(SIN((S9+AX9)*PI()/180))/(COS(AX9*PI()/180))</f>
        <v>-0.25</v>
      </c>
      <c r="AR9" s="82">
        <f>H9+($M$1-M9)-(AN9-Q9)*(COS(S9*PI()/180))*(SIN((T9+13+2.3)*PI()/180))</f>
        <v>635107.03500000003</v>
      </c>
      <c r="AS9" s="82">
        <f>I9+($N$1-N9)-(AN9-Q9)*(COS(S9*PI()/180))*(COS((T9+13+2.3)*PI()/180))</f>
        <v>3048207.2680000002</v>
      </c>
      <c r="AT9" s="82">
        <f>J9+($O$1-O9)-R9+AN9-(AN9-Q9)*(SIN(S9*PI()/180))-L9</f>
        <v>181.065</v>
      </c>
      <c r="AU9" s="69"/>
      <c r="AV9" s="92"/>
      <c r="AX9" s="79"/>
    </row>
    <row r="10" spans="1:50" x14ac:dyDescent="0.6">
      <c r="A10" s="154" t="s">
        <v>174</v>
      </c>
      <c r="B10" s="105"/>
      <c r="C10" s="105"/>
      <c r="D10" s="105"/>
      <c r="E10" s="106"/>
      <c r="F10" s="107"/>
      <c r="G10" s="108"/>
      <c r="H10" s="109"/>
      <c r="I10" s="110"/>
      <c r="J10" s="110"/>
      <c r="K10" s="248"/>
      <c r="L10" s="243"/>
      <c r="M10" s="134"/>
      <c r="N10" s="134"/>
      <c r="O10" s="134"/>
      <c r="P10" s="113"/>
      <c r="Q10" s="114"/>
      <c r="R10" s="109"/>
      <c r="S10" s="115"/>
      <c r="T10" s="115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01"/>
      <c r="AN10" s="122"/>
      <c r="AO10" s="156"/>
      <c r="AP10" s="118"/>
      <c r="AQ10" s="109"/>
      <c r="AR10" s="111"/>
      <c r="AS10" s="111"/>
      <c r="AT10" s="111"/>
      <c r="AU10" s="105"/>
      <c r="AV10" s="119"/>
      <c r="AX10" s="115"/>
    </row>
    <row r="11" spans="1:50" x14ac:dyDescent="0.6">
      <c r="A11" s="157" t="s">
        <v>175</v>
      </c>
      <c r="B11" s="84" t="s">
        <v>319</v>
      </c>
      <c r="C11" s="84" t="s">
        <v>320</v>
      </c>
      <c r="D11" s="84" t="s">
        <v>261</v>
      </c>
      <c r="E11" s="85"/>
      <c r="G11" s="86" t="s">
        <v>321</v>
      </c>
      <c r="H11" s="74">
        <v>635170.51199999999</v>
      </c>
      <c r="I11" s="75">
        <v>3048653.0950000002</v>
      </c>
      <c r="J11" s="75">
        <v>148.142</v>
      </c>
      <c r="K11" s="78" t="s">
        <v>279</v>
      </c>
      <c r="L11" s="329">
        <v>1.96</v>
      </c>
      <c r="M11" s="82">
        <v>633905.23300000001</v>
      </c>
      <c r="N11" s="82">
        <v>3049240.4479999999</v>
      </c>
      <c r="O11" s="82">
        <v>56.39</v>
      </c>
      <c r="P11" s="239" t="s">
        <v>342</v>
      </c>
      <c r="Q11" s="73">
        <v>-0.04</v>
      </c>
      <c r="R11" s="74">
        <v>1.92</v>
      </c>
      <c r="S11" s="88">
        <v>90</v>
      </c>
      <c r="T11" s="79"/>
      <c r="U11" s="75">
        <v>0.79</v>
      </c>
      <c r="V11" s="75">
        <v>0.92</v>
      </c>
      <c r="W11" s="75">
        <v>0.93</v>
      </c>
      <c r="X11" s="75">
        <v>0.81</v>
      </c>
      <c r="Y11" s="75">
        <v>0.69</v>
      </c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>
        <f>AVERAGE(U11:AC11)</f>
        <v>0.82800000000000007</v>
      </c>
      <c r="AN11" s="158">
        <v>3.67</v>
      </c>
      <c r="AO11"/>
      <c r="AP11" s="76"/>
      <c r="AQ11" s="74">
        <f>AN11-(AN11-Q11)*(SIN((S11+AX11)*PI()/180))/(COS(AX11*PI()/180))</f>
        <v>-4.0000000000000036E-2</v>
      </c>
      <c r="AR11" s="82">
        <f>H11+($M$1-M11)-(AN11-Q11)*(COS(S11*PI()/180))*(SIN((T11+13+2.3)*PI()/180))</f>
        <v>635170.51199999999</v>
      </c>
      <c r="AS11" s="82">
        <f>I11+($N$1-N11)-(AN11-Q11)*(COS(S11*PI()/180))*(COS((T11+13+2.3)*PI()/180))</f>
        <v>3048653.0950000002</v>
      </c>
      <c r="AT11" s="82">
        <f>J11+($O$1-O11)-R11+AN11-(AN11-Q11)*(SIN(S11*PI()/180))-L11</f>
        <v>144.11199999999997</v>
      </c>
      <c r="AU11" s="69"/>
      <c r="AV11" s="92"/>
      <c r="AX11" s="79"/>
    </row>
    <row r="12" spans="1:50" x14ac:dyDescent="0.6">
      <c r="A12" s="154" t="s">
        <v>176</v>
      </c>
      <c r="B12" s="105"/>
      <c r="C12" s="105"/>
      <c r="D12" s="105"/>
      <c r="E12" s="106"/>
      <c r="F12" s="107"/>
      <c r="G12" s="108"/>
      <c r="H12" s="109"/>
      <c r="I12" s="110"/>
      <c r="J12" s="110"/>
      <c r="K12" s="248"/>
      <c r="L12" s="243"/>
      <c r="M12" s="134"/>
      <c r="N12" s="134"/>
      <c r="O12" s="134"/>
      <c r="P12" s="113"/>
      <c r="Q12" s="114"/>
      <c r="R12" s="109"/>
      <c r="S12" s="115"/>
      <c r="T12" s="115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6"/>
      <c r="AO12" s="156"/>
      <c r="AP12" s="118"/>
      <c r="AQ12" s="109"/>
      <c r="AR12" s="111"/>
      <c r="AS12" s="111"/>
      <c r="AT12" s="111"/>
      <c r="AU12" s="105"/>
      <c r="AV12" s="119"/>
      <c r="AX12" s="115"/>
    </row>
    <row r="13" spans="1:50" x14ac:dyDescent="0.6">
      <c r="A13" s="154" t="s">
        <v>177</v>
      </c>
      <c r="B13" s="105"/>
      <c r="C13" s="105"/>
      <c r="D13" s="105"/>
      <c r="E13" s="106"/>
      <c r="F13" s="107"/>
      <c r="G13" s="108"/>
      <c r="H13" s="109"/>
      <c r="I13" s="110"/>
      <c r="J13" s="110"/>
      <c r="K13" s="248"/>
      <c r="L13" s="243"/>
      <c r="M13" s="134"/>
      <c r="N13" s="134"/>
      <c r="O13" s="134"/>
      <c r="P13" s="113"/>
      <c r="Q13" s="114"/>
      <c r="R13" s="109"/>
      <c r="S13" s="115"/>
      <c r="T13" s="115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6"/>
      <c r="AO13" s="156"/>
      <c r="AP13" s="118"/>
      <c r="AQ13" s="109"/>
      <c r="AR13" s="111"/>
      <c r="AS13" s="111"/>
      <c r="AT13" s="111"/>
      <c r="AU13" s="105"/>
      <c r="AV13" s="119"/>
      <c r="AX13" s="115"/>
    </row>
    <row r="14" spans="1:50" x14ac:dyDescent="0.6">
      <c r="A14" s="154" t="s">
        <v>178</v>
      </c>
      <c r="B14" s="105"/>
      <c r="C14" s="105"/>
      <c r="D14" s="105"/>
      <c r="E14" s="106"/>
      <c r="F14" s="107"/>
      <c r="G14" s="108"/>
      <c r="H14" s="109"/>
      <c r="I14" s="110"/>
      <c r="J14" s="110"/>
      <c r="K14" s="248"/>
      <c r="L14" s="243"/>
      <c r="M14" s="134"/>
      <c r="N14" s="134"/>
      <c r="O14" s="134"/>
      <c r="P14" s="113"/>
      <c r="Q14" s="114"/>
      <c r="R14" s="109"/>
      <c r="S14" s="115"/>
      <c r="T14" s="115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6"/>
      <c r="AO14" s="156"/>
      <c r="AP14" s="118"/>
      <c r="AQ14" s="109"/>
      <c r="AR14" s="111"/>
      <c r="AS14" s="111"/>
      <c r="AT14" s="111"/>
      <c r="AU14" s="105"/>
      <c r="AV14" s="119"/>
      <c r="AX14" s="115"/>
    </row>
    <row r="15" spans="1:50" x14ac:dyDescent="0.6">
      <c r="A15" s="154" t="s">
        <v>179</v>
      </c>
      <c r="B15" s="105"/>
      <c r="C15" s="105"/>
      <c r="D15" s="105"/>
      <c r="E15" s="106"/>
      <c r="F15" s="107"/>
      <c r="G15" s="108"/>
      <c r="H15" s="109"/>
      <c r="I15" s="110"/>
      <c r="J15" s="110"/>
      <c r="K15" s="248"/>
      <c r="L15" s="243"/>
      <c r="M15" s="134"/>
      <c r="N15" s="134"/>
      <c r="O15" s="134"/>
      <c r="P15" s="113"/>
      <c r="Q15" s="114"/>
      <c r="R15" s="109"/>
      <c r="S15" s="115"/>
      <c r="T15" s="115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6"/>
      <c r="AO15" s="156"/>
      <c r="AP15" s="118"/>
      <c r="AQ15" s="109"/>
      <c r="AR15" s="111"/>
      <c r="AS15" s="111"/>
      <c r="AT15" s="111"/>
      <c r="AU15" s="105"/>
      <c r="AV15" s="119"/>
      <c r="AX15" s="115"/>
    </row>
    <row r="16" spans="1:50" x14ac:dyDescent="0.6">
      <c r="A16" s="154" t="s">
        <v>180</v>
      </c>
      <c r="B16" s="105"/>
      <c r="C16" s="105"/>
      <c r="D16" s="105"/>
      <c r="E16" s="106"/>
      <c r="F16" s="107"/>
      <c r="G16" s="108"/>
      <c r="H16" s="109"/>
      <c r="I16" s="110"/>
      <c r="J16" s="110"/>
      <c r="K16" s="248"/>
      <c r="L16" s="243"/>
      <c r="M16" s="134"/>
      <c r="N16" s="134"/>
      <c r="O16" s="134"/>
      <c r="P16" s="113"/>
      <c r="Q16" s="114"/>
      <c r="R16" s="109"/>
      <c r="S16" s="115"/>
      <c r="T16" s="115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6"/>
      <c r="AO16" s="156"/>
      <c r="AP16" s="118"/>
      <c r="AQ16" s="109"/>
      <c r="AR16" s="111"/>
      <c r="AS16" s="111"/>
      <c r="AT16" s="111"/>
      <c r="AU16" s="105"/>
      <c r="AV16" s="119"/>
      <c r="AX16" s="115"/>
    </row>
    <row r="17" spans="1:50" x14ac:dyDescent="0.6">
      <c r="A17" s="157" t="s">
        <v>181</v>
      </c>
      <c r="B17" s="84" t="s">
        <v>303</v>
      </c>
      <c r="C17" s="84" t="s">
        <v>316</v>
      </c>
      <c r="D17" s="84" t="s">
        <v>261</v>
      </c>
      <c r="E17" s="85"/>
      <c r="F17" s="333"/>
      <c r="G17" s="80" t="s">
        <v>304</v>
      </c>
      <c r="H17" s="74">
        <v>636318.84</v>
      </c>
      <c r="I17" s="75">
        <v>3049668.5180000002</v>
      </c>
      <c r="J17" s="75">
        <v>283.13600000000002</v>
      </c>
      <c r="K17" s="78" t="s">
        <v>279</v>
      </c>
      <c r="L17" s="329">
        <v>1.96</v>
      </c>
      <c r="M17" s="82">
        <v>633905.23300000001</v>
      </c>
      <c r="N17" s="82">
        <v>3049240.4479999999</v>
      </c>
      <c r="O17" s="82">
        <v>56.39</v>
      </c>
      <c r="P17" s="239" t="s">
        <v>342</v>
      </c>
      <c r="Q17" s="73">
        <v>-0.53</v>
      </c>
      <c r="R17" s="74">
        <v>1.43</v>
      </c>
      <c r="S17" s="88">
        <v>90</v>
      </c>
      <c r="T17" s="79"/>
      <c r="U17" s="75">
        <v>2.4</v>
      </c>
      <c r="V17" s="75">
        <v>2.4</v>
      </c>
      <c r="W17" s="75">
        <v>2.4</v>
      </c>
      <c r="X17" s="75">
        <v>2.4</v>
      </c>
      <c r="Y17" s="75">
        <v>2.4</v>
      </c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f t="shared" ref="AM17:AM18" si="0">AVERAGE(U17:AC17)</f>
        <v>2.4</v>
      </c>
      <c r="AN17" s="158">
        <v>3.67</v>
      </c>
      <c r="AO17"/>
      <c r="AP17" s="76"/>
      <c r="AQ17" s="74">
        <f>AN17-(AN17-Q17)*(SIN((S17+AX17)*PI()/180))/(COS(AX17*PI()/180))</f>
        <v>-0.53000000000000025</v>
      </c>
      <c r="AR17" s="82">
        <f>H17+($M$1-M17)-(AN17-Q17)*(COS(S17*PI()/180))*(SIN((T17+13+2.3)*PI()/180))</f>
        <v>636318.84</v>
      </c>
      <c r="AS17" s="82">
        <f>I17+($N$1-N17)-(AN17-Q17)*(COS(S17*PI()/180))*(COS((T17+13+2.3)*PI()/180))</f>
        <v>3049668.5180000002</v>
      </c>
      <c r="AT17" s="82">
        <f>J17+($O$1-O17)-R17+AN17-(AN17-Q17)*(SIN(S17*PI()/180))-L17</f>
        <v>279.10600000000005</v>
      </c>
      <c r="AU17" s="69"/>
      <c r="AV17" s="92"/>
      <c r="AX17" s="79"/>
    </row>
    <row r="18" spans="1:50" x14ac:dyDescent="0.6">
      <c r="A18" s="157" t="s">
        <v>182</v>
      </c>
      <c r="B18" s="84" t="s">
        <v>303</v>
      </c>
      <c r="C18" s="84" t="s">
        <v>318</v>
      </c>
      <c r="D18" s="84" t="s">
        <v>261</v>
      </c>
      <c r="E18" s="85"/>
      <c r="F18" s="333"/>
      <c r="G18" s="80" t="s">
        <v>304</v>
      </c>
      <c r="H18" s="74">
        <v>635945.1</v>
      </c>
      <c r="I18" s="75">
        <v>3049411.716</v>
      </c>
      <c r="J18" s="75">
        <v>206.76499999999999</v>
      </c>
      <c r="K18" s="78" t="s">
        <v>279</v>
      </c>
      <c r="L18" s="329">
        <v>1.96</v>
      </c>
      <c r="M18" s="82">
        <v>633905.23300000001</v>
      </c>
      <c r="N18" s="82">
        <v>3049240.4479999999</v>
      </c>
      <c r="O18" s="82">
        <v>56.39</v>
      </c>
      <c r="P18" s="239" t="s">
        <v>342</v>
      </c>
      <c r="Q18" s="73">
        <v>-0.32</v>
      </c>
      <c r="R18" s="74">
        <v>1.64</v>
      </c>
      <c r="S18" s="88">
        <v>90</v>
      </c>
      <c r="T18" s="79"/>
      <c r="U18" s="75">
        <v>1.46</v>
      </c>
      <c r="V18" s="75">
        <v>1.58</v>
      </c>
      <c r="W18" s="75">
        <v>1.64</v>
      </c>
      <c r="X18" s="75">
        <v>1.24</v>
      </c>
      <c r="Y18" s="75">
        <v>1.33</v>
      </c>
      <c r="Z18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>
        <f t="shared" si="0"/>
        <v>1.45</v>
      </c>
      <c r="AN18" s="89">
        <v>3.67</v>
      </c>
      <c r="AO18"/>
      <c r="AP18" s="76"/>
      <c r="AQ18" s="74">
        <f>AN18-(AN18-Q18)*(SIN((S18+AX18)*PI()/180))/(COS(AX18*PI()/180))</f>
        <v>-0.31999999999999984</v>
      </c>
      <c r="AR18" s="82">
        <f>H18+($M$1-M18)-(AN18-Q18)*(COS(S18*PI()/180))*(SIN((T18+13+2.3)*PI()/180))</f>
        <v>635945.1</v>
      </c>
      <c r="AS18" s="82">
        <f>I18+($N$1-N18)-(AN18-Q18)*(COS(S18*PI()/180))*(COS((T18+13+2.3)*PI()/180))</f>
        <v>3049411.716</v>
      </c>
      <c r="AT18" s="82">
        <f>J18+($O$1-O18)-R18+AN18-(AN18-Q18)*(SIN(S18*PI()/180))-L18</f>
        <v>202.73499999999996</v>
      </c>
      <c r="AU18" s="69"/>
      <c r="AV18" s="92"/>
      <c r="AX18" s="79"/>
    </row>
    <row r="19" spans="1:50" x14ac:dyDescent="0.6">
      <c r="A19" s="154" t="s">
        <v>183</v>
      </c>
      <c r="B19" s="105"/>
      <c r="C19" s="105"/>
      <c r="D19" s="105"/>
      <c r="E19" s="106"/>
      <c r="F19" s="334"/>
      <c r="G19" s="108"/>
      <c r="H19" s="109"/>
      <c r="I19" s="110"/>
      <c r="J19" s="110"/>
      <c r="K19" s="248"/>
      <c r="L19" s="243"/>
      <c r="M19" s="134"/>
      <c r="N19" s="134"/>
      <c r="O19" s="134"/>
      <c r="P19" s="113"/>
      <c r="Q19" s="114"/>
      <c r="R19" s="109"/>
      <c r="S19" s="115"/>
      <c r="T19" s="115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6"/>
      <c r="AO19" s="156"/>
      <c r="AP19" s="118"/>
      <c r="AQ19" s="109"/>
      <c r="AR19" s="111"/>
      <c r="AS19" s="111"/>
      <c r="AT19" s="111"/>
      <c r="AU19" s="105"/>
      <c r="AV19" s="119"/>
      <c r="AX19" s="115"/>
    </row>
    <row r="20" spans="1:50" x14ac:dyDescent="0.6">
      <c r="A20" s="154" t="s">
        <v>184</v>
      </c>
      <c r="B20" s="105"/>
      <c r="C20" s="105"/>
      <c r="D20" s="105"/>
      <c r="E20" s="106"/>
      <c r="F20" s="334"/>
      <c r="G20" s="108"/>
      <c r="H20" s="109"/>
      <c r="I20" s="110"/>
      <c r="J20" s="110"/>
      <c r="K20" s="248"/>
      <c r="L20" s="243"/>
      <c r="M20" s="134"/>
      <c r="N20" s="134"/>
      <c r="O20" s="134"/>
      <c r="P20" s="113"/>
      <c r="Q20" s="114"/>
      <c r="R20" s="109"/>
      <c r="S20" s="115"/>
      <c r="T20" s="115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6"/>
      <c r="AO20" s="156"/>
      <c r="AP20" s="118"/>
      <c r="AQ20" s="109"/>
      <c r="AR20" s="111"/>
      <c r="AS20" s="111"/>
      <c r="AT20" s="111"/>
      <c r="AU20" s="105"/>
      <c r="AV20" s="119"/>
      <c r="AX20" s="115"/>
    </row>
    <row r="21" spans="1:50" x14ac:dyDescent="0.6">
      <c r="A21" s="154" t="s">
        <v>185</v>
      </c>
      <c r="B21" s="105"/>
      <c r="C21" s="105"/>
      <c r="D21" s="105"/>
      <c r="E21" s="106"/>
      <c r="F21" s="334"/>
      <c r="G21" s="108"/>
      <c r="H21" s="109"/>
      <c r="I21" s="110"/>
      <c r="J21" s="110"/>
      <c r="K21" s="248"/>
      <c r="L21" s="243"/>
      <c r="M21" s="134"/>
      <c r="N21" s="134"/>
      <c r="O21" s="134"/>
      <c r="P21" s="113"/>
      <c r="Q21" s="114"/>
      <c r="R21" s="109"/>
      <c r="S21" s="115"/>
      <c r="T21" s="115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6"/>
      <c r="AO21" s="156"/>
      <c r="AP21" s="118"/>
      <c r="AQ21" s="109"/>
      <c r="AR21" s="111"/>
      <c r="AS21" s="111"/>
      <c r="AT21" s="111"/>
      <c r="AU21" s="105"/>
      <c r="AV21" s="119"/>
      <c r="AX21" s="115"/>
    </row>
    <row r="22" spans="1:50" x14ac:dyDescent="0.6">
      <c r="A22" s="154" t="s">
        <v>186</v>
      </c>
      <c r="B22" s="105"/>
      <c r="C22" s="105"/>
      <c r="D22" s="105"/>
      <c r="E22" s="106"/>
      <c r="F22" s="334"/>
      <c r="G22" s="108"/>
      <c r="H22" s="109"/>
      <c r="I22" s="110"/>
      <c r="J22" s="110"/>
      <c r="K22" s="248"/>
      <c r="L22" s="243"/>
      <c r="M22" s="134"/>
      <c r="N22" s="134"/>
      <c r="O22" s="134"/>
      <c r="P22" s="113"/>
      <c r="Q22" s="114"/>
      <c r="R22" s="109"/>
      <c r="S22" s="115"/>
      <c r="T22" s="115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6"/>
      <c r="AO22" s="156"/>
      <c r="AP22" s="118"/>
      <c r="AQ22" s="109"/>
      <c r="AR22" s="111"/>
      <c r="AS22" s="111"/>
      <c r="AT22" s="111"/>
      <c r="AU22" s="105"/>
      <c r="AV22" s="119"/>
      <c r="AX22" s="115"/>
    </row>
    <row r="23" spans="1:50" x14ac:dyDescent="0.6">
      <c r="A23" s="154" t="s">
        <v>187</v>
      </c>
      <c r="B23" s="105"/>
      <c r="C23" s="105"/>
      <c r="D23" s="105"/>
      <c r="E23" s="106"/>
      <c r="F23" s="334"/>
      <c r="G23" s="108"/>
      <c r="H23" s="109"/>
      <c r="I23" s="110"/>
      <c r="J23" s="110"/>
      <c r="K23" s="248"/>
      <c r="L23" s="243"/>
      <c r="M23" s="134"/>
      <c r="N23" s="134"/>
      <c r="O23" s="134"/>
      <c r="P23" s="113"/>
      <c r="Q23" s="114"/>
      <c r="R23" s="109"/>
      <c r="S23" s="115"/>
      <c r="T23" s="115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6"/>
      <c r="AO23" s="156"/>
      <c r="AP23" s="118"/>
      <c r="AQ23" s="109"/>
      <c r="AR23" s="111"/>
      <c r="AS23" s="111"/>
      <c r="AT23" s="111"/>
      <c r="AU23" s="105"/>
      <c r="AV23" s="119"/>
      <c r="AX23" s="115"/>
    </row>
    <row r="24" spans="1:50" x14ac:dyDescent="0.6">
      <c r="A24" s="154" t="s">
        <v>188</v>
      </c>
      <c r="B24" s="105"/>
      <c r="C24" s="105"/>
      <c r="D24" s="105"/>
      <c r="E24" s="106"/>
      <c r="F24" s="334"/>
      <c r="G24" s="108"/>
      <c r="H24" s="109"/>
      <c r="I24" s="110"/>
      <c r="J24" s="110"/>
      <c r="K24" s="248"/>
      <c r="L24" s="243"/>
      <c r="M24" s="134"/>
      <c r="N24" s="134"/>
      <c r="O24" s="134"/>
      <c r="P24" s="113"/>
      <c r="Q24" s="114"/>
      <c r="R24" s="109"/>
      <c r="S24" s="115"/>
      <c r="T24" s="115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6"/>
      <c r="AO24" s="156"/>
      <c r="AP24" s="118"/>
      <c r="AQ24" s="109"/>
      <c r="AR24" s="111"/>
      <c r="AS24" s="111"/>
      <c r="AT24" s="111"/>
      <c r="AU24" s="105"/>
      <c r="AV24" s="119"/>
      <c r="AX24" s="115"/>
    </row>
    <row r="25" spans="1:50" x14ac:dyDescent="0.6">
      <c r="A25" s="154" t="s">
        <v>189</v>
      </c>
      <c r="B25" s="105"/>
      <c r="C25" s="105"/>
      <c r="D25" s="105"/>
      <c r="E25" s="106"/>
      <c r="F25" s="334"/>
      <c r="G25" s="108"/>
      <c r="H25" s="109"/>
      <c r="I25" s="110"/>
      <c r="J25" s="110"/>
      <c r="K25" s="248"/>
      <c r="L25" s="243"/>
      <c r="M25" s="134"/>
      <c r="N25" s="134"/>
      <c r="O25" s="134"/>
      <c r="P25" s="113"/>
      <c r="Q25" s="114"/>
      <c r="R25" s="109"/>
      <c r="S25" s="115"/>
      <c r="T25" s="115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6"/>
      <c r="AO25" s="156"/>
      <c r="AP25" s="118"/>
      <c r="AQ25" s="109"/>
      <c r="AR25" s="111"/>
      <c r="AS25" s="111"/>
      <c r="AT25" s="111"/>
      <c r="AU25" s="105"/>
      <c r="AV25" s="119"/>
      <c r="AX25" s="115"/>
    </row>
    <row r="26" spans="1:50" x14ac:dyDescent="0.6">
      <c r="A26" s="154" t="s">
        <v>190</v>
      </c>
      <c r="B26" s="105"/>
      <c r="C26" s="105"/>
      <c r="D26" s="105"/>
      <c r="E26" s="106"/>
      <c r="F26" s="334"/>
      <c r="G26" s="108"/>
      <c r="H26" s="109"/>
      <c r="I26" s="110"/>
      <c r="J26" s="110"/>
      <c r="K26" s="248"/>
      <c r="L26" s="243"/>
      <c r="M26" s="134"/>
      <c r="N26" s="134"/>
      <c r="O26" s="134"/>
      <c r="P26" s="113"/>
      <c r="Q26" s="114"/>
      <c r="R26" s="109"/>
      <c r="S26" s="115"/>
      <c r="T26" s="115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6"/>
      <c r="AO26" s="156"/>
      <c r="AP26" s="118"/>
      <c r="AQ26" s="109"/>
      <c r="AR26" s="111"/>
      <c r="AS26" s="111"/>
      <c r="AT26" s="111"/>
      <c r="AU26" s="105"/>
      <c r="AV26" s="119"/>
      <c r="AX26" s="115"/>
    </row>
    <row r="27" spans="1:50" x14ac:dyDescent="0.6">
      <c r="A27" s="154" t="s">
        <v>191</v>
      </c>
      <c r="B27" s="105"/>
      <c r="C27" s="105"/>
      <c r="D27" s="105"/>
      <c r="E27" s="106"/>
      <c r="F27" s="334"/>
      <c r="G27" s="108"/>
      <c r="H27" s="109"/>
      <c r="I27" s="110"/>
      <c r="J27" s="110"/>
      <c r="K27" s="248"/>
      <c r="L27" s="243"/>
      <c r="M27" s="134"/>
      <c r="N27" s="134"/>
      <c r="O27" s="134"/>
      <c r="P27" s="113"/>
      <c r="Q27" s="114"/>
      <c r="R27" s="109"/>
      <c r="S27" s="115"/>
      <c r="T27" s="115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6"/>
      <c r="AO27" s="156"/>
      <c r="AP27" s="118"/>
      <c r="AQ27" s="109"/>
      <c r="AR27" s="111"/>
      <c r="AS27" s="111"/>
      <c r="AT27" s="111"/>
      <c r="AU27" s="105"/>
      <c r="AV27" s="119"/>
      <c r="AX27" s="115"/>
    </row>
    <row r="28" spans="1:50" x14ac:dyDescent="0.6">
      <c r="A28" s="154" t="s">
        <v>192</v>
      </c>
      <c r="B28" s="105"/>
      <c r="C28" s="105"/>
      <c r="D28" s="105"/>
      <c r="E28" s="106"/>
      <c r="F28" s="334"/>
      <c r="G28" s="108"/>
      <c r="H28" s="109"/>
      <c r="I28" s="110"/>
      <c r="J28" s="110"/>
      <c r="K28" s="248"/>
      <c r="L28" s="243"/>
      <c r="M28" s="134"/>
      <c r="N28" s="134"/>
      <c r="O28" s="134"/>
      <c r="P28" s="113"/>
      <c r="Q28" s="114"/>
      <c r="R28" s="109"/>
      <c r="S28" s="115"/>
      <c r="T28" s="115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6"/>
      <c r="AO28" s="156"/>
      <c r="AP28" s="118"/>
      <c r="AQ28" s="109"/>
      <c r="AR28" s="111"/>
      <c r="AS28" s="111"/>
      <c r="AT28" s="111"/>
      <c r="AU28" s="105"/>
      <c r="AV28" s="119"/>
      <c r="AX28" s="115"/>
    </row>
    <row r="29" spans="1:50" x14ac:dyDescent="0.6">
      <c r="A29" s="154" t="s">
        <v>193</v>
      </c>
      <c r="B29" s="105"/>
      <c r="C29" s="105"/>
      <c r="D29" s="105"/>
      <c r="E29" s="106"/>
      <c r="F29" s="334"/>
      <c r="G29" s="108"/>
      <c r="H29" s="109"/>
      <c r="I29" s="110"/>
      <c r="J29" s="110"/>
      <c r="K29" s="248"/>
      <c r="L29" s="243"/>
      <c r="M29" s="134"/>
      <c r="N29" s="134"/>
      <c r="O29" s="134"/>
      <c r="P29" s="113"/>
      <c r="Q29" s="114"/>
      <c r="R29" s="109"/>
      <c r="S29" s="115"/>
      <c r="T29" s="115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6"/>
      <c r="AO29" s="156"/>
      <c r="AP29" s="118"/>
      <c r="AQ29" s="109"/>
      <c r="AR29" s="111"/>
      <c r="AS29" s="111"/>
      <c r="AT29" s="111"/>
      <c r="AU29" s="105"/>
      <c r="AV29" s="119"/>
      <c r="AX29" s="115"/>
    </row>
    <row r="30" spans="1:50" x14ac:dyDescent="0.6">
      <c r="A30" s="154" t="s">
        <v>194</v>
      </c>
      <c r="B30" s="105"/>
      <c r="C30" s="105"/>
      <c r="D30" s="105"/>
      <c r="E30" s="106"/>
      <c r="F30" s="334"/>
      <c r="G30" s="108"/>
      <c r="H30" s="109"/>
      <c r="I30" s="110"/>
      <c r="J30" s="110"/>
      <c r="K30" s="248"/>
      <c r="L30" s="243"/>
      <c r="M30" s="134"/>
      <c r="N30" s="134"/>
      <c r="O30" s="134"/>
      <c r="P30" s="113"/>
      <c r="Q30" s="114"/>
      <c r="R30" s="109"/>
      <c r="S30" s="115"/>
      <c r="T30" s="115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6"/>
      <c r="AO30" s="156"/>
      <c r="AP30" s="118"/>
      <c r="AQ30" s="109"/>
      <c r="AR30" s="111"/>
      <c r="AS30" s="111"/>
      <c r="AT30" s="111"/>
      <c r="AU30" s="105"/>
      <c r="AV30" s="119"/>
      <c r="AX30" s="115"/>
    </row>
    <row r="31" spans="1:50" x14ac:dyDescent="0.6">
      <c r="A31" s="154" t="s">
        <v>195</v>
      </c>
      <c r="B31" s="105"/>
      <c r="C31" s="105"/>
      <c r="D31" s="105"/>
      <c r="E31" s="106"/>
      <c r="F31" s="334"/>
      <c r="G31" s="108"/>
      <c r="H31" s="109"/>
      <c r="I31" s="110"/>
      <c r="J31" s="110"/>
      <c r="K31" s="248"/>
      <c r="L31" s="243"/>
      <c r="M31" s="134"/>
      <c r="N31" s="134"/>
      <c r="O31" s="134"/>
      <c r="P31" s="113"/>
      <c r="Q31" s="114"/>
      <c r="R31" s="109"/>
      <c r="S31" s="115"/>
      <c r="T31" s="115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6"/>
      <c r="AO31" s="156"/>
      <c r="AP31" s="118"/>
      <c r="AQ31" s="109"/>
      <c r="AR31" s="111"/>
      <c r="AS31" s="111"/>
      <c r="AT31" s="111"/>
      <c r="AU31" s="105"/>
      <c r="AV31" s="119"/>
      <c r="AX31" s="115"/>
    </row>
    <row r="32" spans="1:50" x14ac:dyDescent="0.6">
      <c r="A32" s="154" t="s">
        <v>196</v>
      </c>
      <c r="B32" s="105"/>
      <c r="C32" s="105"/>
      <c r="D32" s="105"/>
      <c r="E32" s="106"/>
      <c r="F32" s="334"/>
      <c r="G32" s="108"/>
      <c r="H32" s="109"/>
      <c r="I32" s="110"/>
      <c r="J32" s="110"/>
      <c r="K32" s="248"/>
      <c r="L32" s="243"/>
      <c r="M32" s="134"/>
      <c r="N32" s="134"/>
      <c r="O32" s="134"/>
      <c r="P32" s="113"/>
      <c r="Q32" s="114"/>
      <c r="R32" s="109"/>
      <c r="S32" s="115"/>
      <c r="T32" s="115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6"/>
      <c r="AO32" s="156"/>
      <c r="AP32" s="118"/>
      <c r="AQ32" s="109"/>
      <c r="AR32" s="111"/>
      <c r="AS32" s="111"/>
      <c r="AT32" s="111"/>
      <c r="AU32" s="105"/>
      <c r="AV32" s="119"/>
      <c r="AX32" s="115"/>
    </row>
    <row r="33" spans="1:50" x14ac:dyDescent="0.6">
      <c r="A33" s="154" t="s">
        <v>197</v>
      </c>
      <c r="B33" s="105"/>
      <c r="C33" s="105"/>
      <c r="D33" s="105"/>
      <c r="E33" s="106"/>
      <c r="F33" s="334"/>
      <c r="G33" s="108"/>
      <c r="H33" s="109"/>
      <c r="I33" s="110"/>
      <c r="J33" s="110"/>
      <c r="K33" s="248"/>
      <c r="L33" s="243"/>
      <c r="M33" s="134"/>
      <c r="N33" s="134"/>
      <c r="O33" s="134"/>
      <c r="P33" s="113"/>
      <c r="Q33" s="114"/>
      <c r="R33" s="109"/>
      <c r="S33" s="115"/>
      <c r="T33" s="115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6"/>
      <c r="AO33" s="156"/>
      <c r="AP33" s="118"/>
      <c r="AQ33" s="109"/>
      <c r="AR33" s="111"/>
      <c r="AS33" s="111"/>
      <c r="AT33" s="111"/>
      <c r="AU33" s="105"/>
      <c r="AV33" s="119"/>
      <c r="AX33" s="115"/>
    </row>
    <row r="34" spans="1:50" x14ac:dyDescent="0.6">
      <c r="A34" s="154" t="s">
        <v>198</v>
      </c>
      <c r="B34" s="105"/>
      <c r="C34" s="105"/>
      <c r="D34" s="105"/>
      <c r="E34" s="106"/>
      <c r="F34" s="334"/>
      <c r="G34" s="108"/>
      <c r="H34" s="109"/>
      <c r="I34" s="110"/>
      <c r="J34" s="110"/>
      <c r="K34" s="248"/>
      <c r="L34" s="243"/>
      <c r="M34" s="134"/>
      <c r="N34" s="134"/>
      <c r="O34" s="134"/>
      <c r="P34" s="113"/>
      <c r="Q34" s="114"/>
      <c r="R34" s="109"/>
      <c r="S34" s="115"/>
      <c r="T34" s="115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6"/>
      <c r="AO34" s="156"/>
      <c r="AP34" s="118"/>
      <c r="AQ34" s="109"/>
      <c r="AR34" s="111"/>
      <c r="AS34" s="111"/>
      <c r="AT34" s="111"/>
      <c r="AU34" s="105"/>
      <c r="AV34" s="119"/>
      <c r="AX34" s="115"/>
    </row>
    <row r="35" spans="1:50" x14ac:dyDescent="0.6">
      <c r="A35" s="154" t="s">
        <v>199</v>
      </c>
      <c r="B35" s="105"/>
      <c r="C35" s="105"/>
      <c r="D35" s="105"/>
      <c r="E35" s="106"/>
      <c r="F35" s="334"/>
      <c r="G35" s="108"/>
      <c r="H35" s="109"/>
      <c r="I35" s="110"/>
      <c r="J35" s="110"/>
      <c r="K35" s="248"/>
      <c r="L35" s="243"/>
      <c r="M35" s="134"/>
      <c r="N35" s="134"/>
      <c r="O35" s="134"/>
      <c r="P35" s="113"/>
      <c r="Q35" s="114"/>
      <c r="R35" s="109"/>
      <c r="S35" s="115"/>
      <c r="T35" s="115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6"/>
      <c r="AO35" s="156"/>
      <c r="AP35" s="118"/>
      <c r="AQ35" s="109"/>
      <c r="AR35" s="111"/>
      <c r="AS35" s="111"/>
      <c r="AT35" s="111"/>
      <c r="AU35" s="105"/>
      <c r="AV35" s="119"/>
      <c r="AX35" s="115"/>
    </row>
    <row r="36" spans="1:50" x14ac:dyDescent="0.6">
      <c r="A36" s="154" t="s">
        <v>200</v>
      </c>
      <c r="B36" s="105"/>
      <c r="C36" s="105"/>
      <c r="D36" s="105"/>
      <c r="E36" s="106"/>
      <c r="F36" s="334"/>
      <c r="G36" s="108"/>
      <c r="H36" s="109"/>
      <c r="I36" s="110"/>
      <c r="J36" s="110"/>
      <c r="K36" s="248"/>
      <c r="L36" s="243"/>
      <c r="M36" s="134"/>
      <c r="N36" s="134"/>
      <c r="O36" s="134"/>
      <c r="P36" s="113"/>
      <c r="Q36" s="114"/>
      <c r="R36" s="109"/>
      <c r="S36" s="115"/>
      <c r="T36" s="115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6"/>
      <c r="AO36" s="156"/>
      <c r="AP36" s="118"/>
      <c r="AQ36" s="109"/>
      <c r="AR36" s="111"/>
      <c r="AS36" s="111"/>
      <c r="AT36" s="111"/>
      <c r="AU36" s="105"/>
      <c r="AV36" s="119"/>
      <c r="AX36" s="115"/>
    </row>
    <row r="37" spans="1:50" x14ac:dyDescent="0.6">
      <c r="A37" s="157" t="s">
        <v>201</v>
      </c>
      <c r="B37" s="84" t="s">
        <v>277</v>
      </c>
      <c r="C37" s="84" t="s">
        <v>297</v>
      </c>
      <c r="D37" s="84" t="s">
        <v>261</v>
      </c>
      <c r="E37" s="85"/>
      <c r="F37" s="333"/>
      <c r="G37" s="86" t="s">
        <v>280</v>
      </c>
      <c r="H37" s="74">
        <v>635908.12800000003</v>
      </c>
      <c r="I37" s="75">
        <v>3047869.4789999998</v>
      </c>
      <c r="J37" s="75">
        <v>214.458</v>
      </c>
      <c r="K37" s="78" t="s">
        <v>279</v>
      </c>
      <c r="L37" s="329">
        <v>1.96</v>
      </c>
      <c r="M37" s="269">
        <v>633905.23300000001</v>
      </c>
      <c r="N37" s="269">
        <v>3049240.4479999999</v>
      </c>
      <c r="O37" s="269">
        <v>56.39</v>
      </c>
      <c r="P37" s="239" t="s">
        <v>342</v>
      </c>
      <c r="Q37" s="73">
        <v>-0.28000000000000003</v>
      </c>
      <c r="R37" s="74">
        <v>1.68</v>
      </c>
      <c r="S37" s="88">
        <v>90</v>
      </c>
      <c r="T37" s="79"/>
      <c r="U37" s="75">
        <v>1.65</v>
      </c>
      <c r="V37" s="75">
        <v>1.62</v>
      </c>
      <c r="W37" s="75">
        <v>1.58</v>
      </c>
      <c r="X37" s="75">
        <v>1.58</v>
      </c>
      <c r="Y37" s="75">
        <v>1.6</v>
      </c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>
        <f t="shared" ref="AM37:AM40" si="1">AVERAGE(U37:AC37)</f>
        <v>1.6059999999999999</v>
      </c>
      <c r="AN37" s="158">
        <v>3.67</v>
      </c>
      <c r="AO37"/>
      <c r="AP37" s="76"/>
      <c r="AQ37" s="74">
        <f>AN37-(AN37-Q37)*(SIN((S37+AX37)*PI()/180))/(COS(AX37*PI()/180))</f>
        <v>-0.28000000000000025</v>
      </c>
      <c r="AR37" s="82">
        <f>H37+($M$1-M37)-(AN37-Q37)*(COS(S37*PI()/180))*(SIN((T37+13+2.3)*PI()/180))</f>
        <v>635908.12800000003</v>
      </c>
      <c r="AS37" s="82">
        <f>I37+($N$1-N37)-(AN37-Q37)*(COS(S37*PI()/180))*(COS((T37+13+2.3)*PI()/180))</f>
        <v>3047869.4789999998</v>
      </c>
      <c r="AT37" s="82">
        <f>J37+($O$1-O37)-R37+AN37-(AN37-Q37)*(SIN(S37*PI()/180))-L37</f>
        <v>210.428</v>
      </c>
      <c r="AU37" s="69"/>
      <c r="AV37" s="92"/>
      <c r="AX37" s="79"/>
    </row>
    <row r="38" spans="1:50" x14ac:dyDescent="0.6">
      <c r="A38" s="157" t="s">
        <v>202</v>
      </c>
      <c r="B38" s="84" t="s">
        <v>277</v>
      </c>
      <c r="C38" s="84" t="s">
        <v>298</v>
      </c>
      <c r="D38" s="84" t="s">
        <v>261</v>
      </c>
      <c r="E38" s="85"/>
      <c r="F38" s="333"/>
      <c r="G38" s="86" t="s">
        <v>280</v>
      </c>
      <c r="H38" s="74">
        <v>635711.82700000005</v>
      </c>
      <c r="I38" s="75">
        <v>3048163.6159999999</v>
      </c>
      <c r="J38" s="75">
        <v>195.029</v>
      </c>
      <c r="K38" s="78" t="s">
        <v>279</v>
      </c>
      <c r="L38" s="82">
        <v>1E-3</v>
      </c>
      <c r="M38" s="269">
        <v>633905.23300000001</v>
      </c>
      <c r="N38" s="269">
        <v>3049240.4479999999</v>
      </c>
      <c r="O38" s="269">
        <v>56.39</v>
      </c>
      <c r="P38" s="87" t="s">
        <v>343</v>
      </c>
      <c r="Q38" s="73">
        <v>0.96</v>
      </c>
      <c r="R38" s="74">
        <v>0.96099999999999997</v>
      </c>
      <c r="S38" s="88">
        <v>90</v>
      </c>
      <c r="T38" s="79"/>
      <c r="U38" s="75">
        <v>1.32</v>
      </c>
      <c r="V38" s="75">
        <v>1.25</v>
      </c>
      <c r="W38" s="75">
        <v>1.26</v>
      </c>
      <c r="X38" s="75">
        <v>1.3</v>
      </c>
      <c r="Y38" s="75">
        <v>1.28</v>
      </c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>
        <f t="shared" si="1"/>
        <v>1.282</v>
      </c>
      <c r="AN38" s="158">
        <v>3.67</v>
      </c>
      <c r="AO38"/>
      <c r="AP38" s="76"/>
      <c r="AQ38" s="74">
        <f>AN38-(AN38-Q38)*(SIN((S38+AX38)*PI()/180))/(COS(AX38*PI()/180))</f>
        <v>0.96</v>
      </c>
      <c r="AR38" s="82">
        <f>H38+($M$1-M38)-(AN38-Q38)*(COS(S38*PI()/180))*(SIN((T38+13+2.3)*PI()/180))</f>
        <v>635711.82700000005</v>
      </c>
      <c r="AS38" s="82">
        <f>I38+($N$1-N38)-(AN38-Q38)*(COS(S38*PI()/180))*(COS((T38+13+2.3)*PI()/180))</f>
        <v>3048163.6159999999</v>
      </c>
      <c r="AT38" s="82">
        <f>J38+($O$1-O38)-R38+AN38-(AN38-Q38)*(SIN(S38*PI()/180))-L38</f>
        <v>194.91699999999994</v>
      </c>
      <c r="AU38" s="69"/>
      <c r="AV38" s="92"/>
      <c r="AX38" s="79"/>
    </row>
    <row r="39" spans="1:50" x14ac:dyDescent="0.6">
      <c r="A39" s="157" t="s">
        <v>203</v>
      </c>
      <c r="B39" s="84" t="s">
        <v>277</v>
      </c>
      <c r="C39" s="84" t="s">
        <v>299</v>
      </c>
      <c r="D39" s="84" t="s">
        <v>261</v>
      </c>
      <c r="E39" s="85"/>
      <c r="F39" s="333"/>
      <c r="G39" s="86" t="s">
        <v>280</v>
      </c>
      <c r="H39" s="74">
        <v>635601.46400000004</v>
      </c>
      <c r="I39" s="75">
        <v>3048422.4210000001</v>
      </c>
      <c r="J39" s="75">
        <v>174.999</v>
      </c>
      <c r="K39" s="78" t="s">
        <v>279</v>
      </c>
      <c r="L39" s="82">
        <v>1E-3</v>
      </c>
      <c r="M39" s="269">
        <v>633905.23300000001</v>
      </c>
      <c r="N39" s="269">
        <v>3049240.4479999999</v>
      </c>
      <c r="O39" s="269">
        <v>56.39</v>
      </c>
      <c r="P39" s="87" t="s">
        <v>343</v>
      </c>
      <c r="Q39" s="73">
        <v>0.92</v>
      </c>
      <c r="R39" s="74">
        <v>0.92100000000000004</v>
      </c>
      <c r="S39" s="88">
        <v>90</v>
      </c>
      <c r="T39" s="79"/>
      <c r="U39" s="75">
        <v>1.5</v>
      </c>
      <c r="V39" s="75">
        <v>1.45</v>
      </c>
      <c r="W39" s="75">
        <v>1.38</v>
      </c>
      <c r="X39" s="75">
        <v>1.4</v>
      </c>
      <c r="Y39" s="75">
        <v>1.44</v>
      </c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>
        <f t="shared" si="1"/>
        <v>1.4339999999999999</v>
      </c>
      <c r="AN39" s="89">
        <v>3.67</v>
      </c>
      <c r="AO39"/>
      <c r="AP39" s="76"/>
      <c r="AQ39" s="74">
        <f>AN39-(AN39-Q39)*(SIN((S39+AX39)*PI()/180))/(COS(AX39*PI()/180))</f>
        <v>0.91999999999999993</v>
      </c>
      <c r="AR39" s="82">
        <f>H39+($M$1-M39)-(AN39-Q39)*(COS(S39*PI()/180))*(SIN((T39+13+2.3)*PI()/180))</f>
        <v>635601.46400000004</v>
      </c>
      <c r="AS39" s="82">
        <f>I39+($N$1-N39)-(AN39-Q39)*(COS(S39*PI()/180))*(COS((T39+13+2.3)*PI()/180))</f>
        <v>3048422.4210000001</v>
      </c>
      <c r="AT39" s="82">
        <f>J39+($O$1-O39)-R39+AN39-(AN39-Q39)*(SIN(S39*PI()/180))-L39</f>
        <v>174.887</v>
      </c>
      <c r="AU39" s="69"/>
      <c r="AV39" s="92"/>
      <c r="AX39" s="79"/>
    </row>
    <row r="40" spans="1:50" x14ac:dyDescent="0.6">
      <c r="A40" s="157" t="s">
        <v>204</v>
      </c>
      <c r="B40" s="84" t="s">
        <v>303</v>
      </c>
      <c r="C40" s="84" t="s">
        <v>311</v>
      </c>
      <c r="D40" s="84" t="s">
        <v>261</v>
      </c>
      <c r="E40" s="85"/>
      <c r="F40" s="333"/>
      <c r="G40" s="86" t="s">
        <v>304</v>
      </c>
      <c r="H40" s="74">
        <v>635518.93799999997</v>
      </c>
      <c r="I40" s="75">
        <v>3047623.4019999998</v>
      </c>
      <c r="J40" s="75">
        <v>230.059</v>
      </c>
      <c r="K40" s="78" t="s">
        <v>279</v>
      </c>
      <c r="L40" s="329">
        <v>1.96</v>
      </c>
      <c r="M40" s="82">
        <v>633905.23300000001</v>
      </c>
      <c r="N40" s="82">
        <v>3049240.4479999999</v>
      </c>
      <c r="O40" s="82">
        <v>56.39</v>
      </c>
      <c r="P40" s="87" t="s">
        <v>354</v>
      </c>
      <c r="Q40" s="73">
        <v>0.48</v>
      </c>
      <c r="R40" s="74">
        <v>2.44</v>
      </c>
      <c r="S40" s="88">
        <v>90</v>
      </c>
      <c r="T40" s="79"/>
      <c r="U40" s="75">
        <v>1.52</v>
      </c>
      <c r="V40" s="75">
        <v>1.65</v>
      </c>
      <c r="W40" s="75">
        <v>1.52</v>
      </c>
      <c r="X40" s="75">
        <v>1.51</v>
      </c>
      <c r="Y40" s="75">
        <v>1.55</v>
      </c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>
        <f t="shared" si="1"/>
        <v>1.5499999999999998</v>
      </c>
      <c r="AN40" s="158">
        <v>3.67</v>
      </c>
      <c r="AO40"/>
      <c r="AP40" s="76"/>
      <c r="AQ40" s="74">
        <f>AN40-(AN40-Q40)*(SIN((S40+AX40)*PI()/180))/(COS(AX40*PI()/180))</f>
        <v>0.48</v>
      </c>
      <c r="AR40" s="82">
        <f>H40+($M$1-M40)-(AN40-Q40)*(COS(S40*PI()/180))*(SIN((T40+13+2.3)*PI()/180))</f>
        <v>635518.93799999997</v>
      </c>
      <c r="AS40" s="82">
        <f>I40+($N$1-N40)-(AN40-Q40)*(COS(S40*PI()/180))*(COS((T40+13+2.3)*PI()/180))</f>
        <v>3047623.4019999998</v>
      </c>
      <c r="AT40" s="82">
        <f>J40+($O$1-O40)-R40+AN40-(AN40-Q40)*(SIN(S40*PI()/180))-L40</f>
        <v>226.029</v>
      </c>
      <c r="AU40" s="69"/>
      <c r="AV40" s="92"/>
      <c r="AX40" s="79"/>
    </row>
    <row r="41" spans="1:50" x14ac:dyDescent="0.6">
      <c r="A41" s="154" t="s">
        <v>205</v>
      </c>
      <c r="B41" s="105"/>
      <c r="C41" s="105"/>
      <c r="D41" s="105"/>
      <c r="E41" s="155"/>
      <c r="F41" s="334"/>
      <c r="G41" s="108"/>
      <c r="H41" s="109"/>
      <c r="I41" s="110"/>
      <c r="J41" s="110"/>
      <c r="K41" s="248"/>
      <c r="L41" s="243"/>
      <c r="M41" s="134"/>
      <c r="N41" s="134"/>
      <c r="O41" s="134"/>
      <c r="P41" s="113"/>
      <c r="Q41" s="114"/>
      <c r="R41" s="109"/>
      <c r="S41" s="115"/>
      <c r="T41" s="115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6"/>
      <c r="AO41" s="156"/>
      <c r="AP41" s="118"/>
      <c r="AQ41" s="109"/>
      <c r="AR41" s="111"/>
      <c r="AS41" s="111"/>
      <c r="AT41" s="111"/>
      <c r="AU41" s="105"/>
      <c r="AV41" s="119"/>
      <c r="AX41" s="115"/>
    </row>
    <row r="42" spans="1:50" x14ac:dyDescent="0.6">
      <c r="A42" s="157" t="s">
        <v>206</v>
      </c>
      <c r="B42" s="84" t="s">
        <v>303</v>
      </c>
      <c r="C42" s="84" t="s">
        <v>317</v>
      </c>
      <c r="D42" s="84" t="s">
        <v>261</v>
      </c>
      <c r="E42" s="85"/>
      <c r="F42" s="333"/>
      <c r="G42" s="80" t="s">
        <v>304</v>
      </c>
      <c r="H42" s="74">
        <v>636212.06799999997</v>
      </c>
      <c r="I42" s="75">
        <v>3049089.2629999998</v>
      </c>
      <c r="J42" s="75">
        <v>212.643</v>
      </c>
      <c r="K42" s="78" t="s">
        <v>279</v>
      </c>
      <c r="L42" s="329">
        <v>1.96</v>
      </c>
      <c r="M42" s="82">
        <v>633905.23300000001</v>
      </c>
      <c r="N42" s="82">
        <v>3049240.4479999999</v>
      </c>
      <c r="O42" s="82">
        <v>56.39</v>
      </c>
      <c r="P42" s="239" t="s">
        <v>342</v>
      </c>
      <c r="Q42" s="73">
        <v>-0.12</v>
      </c>
      <c r="R42" s="74">
        <v>1.8399999999999999</v>
      </c>
      <c r="S42" s="88">
        <v>90</v>
      </c>
      <c r="T42" s="79"/>
      <c r="U42" s="75">
        <v>2.1</v>
      </c>
      <c r="V42" s="75">
        <v>2.15</v>
      </c>
      <c r="W42" s="75">
        <v>2.0499999999999998</v>
      </c>
      <c r="X42" s="75">
        <v>1.98</v>
      </c>
      <c r="Y42" s="75">
        <v>2.02</v>
      </c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>
        <f t="shared" ref="AM42:AM43" si="2">AVERAGE(U42:AC42)</f>
        <v>2.0599999999999996</v>
      </c>
      <c r="AN42" s="89">
        <v>3.67</v>
      </c>
      <c r="AO42"/>
      <c r="AP42" s="76"/>
      <c r="AQ42" s="74">
        <f>AN42-(AN42-Q42)*(SIN((S42+AX42)*PI()/180))/(COS(AX42*PI()/180))</f>
        <v>-0.12000000000000011</v>
      </c>
      <c r="AR42" s="82">
        <f>H42+($M$1-M42)-(AN42-Q42)*(COS(S42*PI()/180))*(SIN((T42+13+2.3)*PI()/180))</f>
        <v>636212.06799999997</v>
      </c>
      <c r="AS42" s="82">
        <f>I42+($N$1-N42)-(AN42-Q42)*(COS(S42*PI()/180))*(COS((T42+13+2.3)*PI()/180))</f>
        <v>3049089.2629999998</v>
      </c>
      <c r="AT42" s="82">
        <f>J42+($O$1-O42)-R42+AN42-(AN42-Q42)*(SIN(S42*PI()/180))-L42</f>
        <v>208.613</v>
      </c>
      <c r="AU42" s="69"/>
      <c r="AV42" s="92"/>
      <c r="AX42" s="79"/>
    </row>
    <row r="43" spans="1:50" x14ac:dyDescent="0.6">
      <c r="A43" s="157" t="s">
        <v>207</v>
      </c>
      <c r="B43" s="84" t="s">
        <v>319</v>
      </c>
      <c r="C43" s="84" t="s">
        <v>320</v>
      </c>
      <c r="D43" s="84" t="s">
        <v>261</v>
      </c>
      <c r="E43" s="85"/>
      <c r="F43" s="333"/>
      <c r="G43" s="80" t="s">
        <v>321</v>
      </c>
      <c r="H43" s="74">
        <v>635838.09499999997</v>
      </c>
      <c r="I43" s="75">
        <v>3049042.5950000002</v>
      </c>
      <c r="J43" s="75">
        <v>173.45699999999999</v>
      </c>
      <c r="K43" s="78" t="s">
        <v>279</v>
      </c>
      <c r="L43" s="19">
        <v>0.47</v>
      </c>
      <c r="M43" s="82">
        <v>633905.23300000001</v>
      </c>
      <c r="N43" s="82">
        <v>3049240.4479999999</v>
      </c>
      <c r="O43" s="82">
        <v>56.39</v>
      </c>
      <c r="P43" s="87" t="s">
        <v>355</v>
      </c>
      <c r="Q43" s="73">
        <v>0.95</v>
      </c>
      <c r="R43" s="74">
        <v>1.42</v>
      </c>
      <c r="S43" s="88">
        <v>90</v>
      </c>
      <c r="T43" s="79"/>
      <c r="U43" s="75">
        <v>1.21</v>
      </c>
      <c r="V43" s="75">
        <v>1.25</v>
      </c>
      <c r="W43" s="75">
        <v>1.28</v>
      </c>
      <c r="X43" s="75">
        <v>0.94</v>
      </c>
      <c r="Y43" s="75">
        <v>1.22</v>
      </c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>
        <f t="shared" si="2"/>
        <v>1.18</v>
      </c>
      <c r="AN43" s="158">
        <v>3.67</v>
      </c>
      <c r="AO43"/>
      <c r="AP43" s="76"/>
      <c r="AQ43" s="74">
        <f>AN43-(AN43-Q43)*(SIN((S43+AX43)*PI()/180))/(COS(AX43*PI()/180))</f>
        <v>0.95000000000000018</v>
      </c>
      <c r="AR43" s="82">
        <f>H43+($M$1-M43)-(AN43-Q43)*(COS(S43*PI()/180))*(SIN((T43+13+2.3)*PI()/180))</f>
        <v>635838.09499999997</v>
      </c>
      <c r="AS43" s="82">
        <f>I43+($N$1-N43)-(AN43-Q43)*(COS(S43*PI()/180))*(COS((T43+13+2.3)*PI()/180))</f>
        <v>3049042.5950000002</v>
      </c>
      <c r="AT43" s="82">
        <f>J43+($O$1-O43)-R43+AN43-(AN43-Q43)*(SIN(S43*PI()/180))-L43</f>
        <v>172.40699999999998</v>
      </c>
      <c r="AU43" s="69"/>
      <c r="AV43" s="92"/>
      <c r="AX43" s="79"/>
    </row>
    <row r="44" spans="1:50" x14ac:dyDescent="0.6">
      <c r="A44" s="154" t="s">
        <v>208</v>
      </c>
      <c r="B44" s="105"/>
      <c r="C44" s="105"/>
      <c r="D44" s="105"/>
      <c r="E44" s="106"/>
      <c r="F44" s="334"/>
      <c r="G44" s="108"/>
      <c r="H44" s="109"/>
      <c r="I44" s="110"/>
      <c r="J44" s="110"/>
      <c r="K44" s="248"/>
      <c r="L44" s="243"/>
      <c r="M44" s="134"/>
      <c r="N44" s="134"/>
      <c r="O44" s="134"/>
      <c r="P44" s="113"/>
      <c r="Q44" s="114"/>
      <c r="R44" s="109"/>
      <c r="S44" s="115"/>
      <c r="T44" s="115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6"/>
      <c r="AO44" s="156"/>
      <c r="AP44" s="118"/>
      <c r="AQ44" s="109"/>
      <c r="AR44" s="111"/>
      <c r="AS44" s="111"/>
      <c r="AT44" s="111"/>
      <c r="AU44" s="105"/>
      <c r="AV44" s="119"/>
      <c r="AX44" s="115"/>
    </row>
    <row r="45" spans="1:50" x14ac:dyDescent="0.6">
      <c r="A45" s="154" t="s">
        <v>209</v>
      </c>
      <c r="B45" s="105"/>
      <c r="C45" s="105"/>
      <c r="D45" s="105"/>
      <c r="E45" s="106"/>
      <c r="F45" s="334"/>
      <c r="G45" s="108"/>
      <c r="H45" s="109"/>
      <c r="I45" s="110"/>
      <c r="J45" s="110"/>
      <c r="K45" s="248"/>
      <c r="L45" s="243"/>
      <c r="M45" s="134"/>
      <c r="N45" s="134"/>
      <c r="O45" s="134"/>
      <c r="P45" s="113"/>
      <c r="Q45" s="114"/>
      <c r="R45" s="109"/>
      <c r="S45" s="115"/>
      <c r="T45" s="115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6"/>
      <c r="AO45" s="156"/>
      <c r="AP45" s="118"/>
      <c r="AQ45" s="109"/>
      <c r="AR45" s="111"/>
      <c r="AS45" s="111"/>
      <c r="AT45" s="111"/>
      <c r="AU45" s="105"/>
      <c r="AV45" s="119"/>
      <c r="AX45" s="115"/>
    </row>
    <row r="46" spans="1:50" x14ac:dyDescent="0.6">
      <c r="A46" s="157" t="s">
        <v>210</v>
      </c>
      <c r="B46" s="84" t="s">
        <v>303</v>
      </c>
      <c r="C46" s="84" t="s">
        <v>314</v>
      </c>
      <c r="D46" s="84" t="s">
        <v>261</v>
      </c>
      <c r="E46" s="85"/>
      <c r="F46" s="333"/>
      <c r="G46" s="80" t="s">
        <v>304</v>
      </c>
      <c r="H46" s="74">
        <v>636674.353</v>
      </c>
      <c r="I46" s="75">
        <v>3049165.821</v>
      </c>
      <c r="J46" s="75">
        <v>248.898</v>
      </c>
      <c r="K46" s="78" t="s">
        <v>279</v>
      </c>
      <c r="L46" s="329">
        <v>1.96</v>
      </c>
      <c r="M46" s="82">
        <v>633905.23300000001</v>
      </c>
      <c r="N46" s="82">
        <v>3049240.4479999999</v>
      </c>
      <c r="O46" s="82">
        <v>56.39</v>
      </c>
      <c r="P46" s="239" t="s">
        <v>342</v>
      </c>
      <c r="Q46" s="73">
        <v>-0.14000000000000001</v>
      </c>
      <c r="R46" s="74">
        <v>1.8199999999999998</v>
      </c>
      <c r="S46" s="88">
        <v>90</v>
      </c>
      <c r="T46" s="79"/>
      <c r="U46" s="75">
        <v>1.93</v>
      </c>
      <c r="V46" s="75">
        <v>1.95</v>
      </c>
      <c r="W46" s="75">
        <v>1.96</v>
      </c>
      <c r="X46" s="75">
        <v>1.96</v>
      </c>
      <c r="Y46" s="75">
        <v>1.92</v>
      </c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>
        <f t="shared" ref="AM46:AM47" si="3">AVERAGE(U46:AC46)</f>
        <v>1.9439999999999997</v>
      </c>
      <c r="AN46" s="89">
        <v>3.67</v>
      </c>
      <c r="AO46"/>
      <c r="AP46" s="76"/>
      <c r="AQ46" s="74">
        <f>AN46-(AN46-Q46)*(SIN((S46+AX46)*PI()/180))/(COS(AX46*PI()/180))</f>
        <v>-0.14000000000000012</v>
      </c>
      <c r="AR46" s="82">
        <f>H46+($M$1-M46)-(AN46-Q46)*(COS(S46*PI()/180))*(SIN((T46+13+2.3)*PI()/180))</f>
        <v>636674.353</v>
      </c>
      <c r="AS46" s="82">
        <f>I46+($N$1-N46)-(AN46-Q46)*(COS(S46*PI()/180))*(COS((T46+13+2.3)*PI()/180))</f>
        <v>3049165.821</v>
      </c>
      <c r="AT46" s="82">
        <f>J46+($O$1-O46)-R46+AN46-(AN46-Q46)*(SIN(S46*PI()/180))-L46</f>
        <v>244.86799999999999</v>
      </c>
      <c r="AU46" s="69"/>
      <c r="AV46" s="92"/>
      <c r="AX46" s="79"/>
    </row>
    <row r="47" spans="1:50" x14ac:dyDescent="0.6">
      <c r="A47" s="157" t="s">
        <v>211</v>
      </c>
      <c r="B47" s="84" t="s">
        <v>303</v>
      </c>
      <c r="C47" s="84" t="s">
        <v>310</v>
      </c>
      <c r="D47" s="84" t="s">
        <v>261</v>
      </c>
      <c r="E47" s="85"/>
      <c r="F47" s="333"/>
      <c r="G47" s="86" t="s">
        <v>304</v>
      </c>
      <c r="H47" s="74">
        <v>635224.38399999996</v>
      </c>
      <c r="I47" s="75">
        <v>3047094.3259999999</v>
      </c>
      <c r="J47" s="75">
        <v>300.74099999999999</v>
      </c>
      <c r="K47" s="78" t="s">
        <v>279</v>
      </c>
      <c r="L47" s="329">
        <v>1.96</v>
      </c>
      <c r="M47" s="82">
        <v>633905.23300000001</v>
      </c>
      <c r="N47" s="82">
        <v>3049240.4479999999</v>
      </c>
      <c r="O47" s="82">
        <v>56.39</v>
      </c>
      <c r="P47" s="239" t="s">
        <v>342</v>
      </c>
      <c r="Q47" s="73">
        <v>-0.25</v>
      </c>
      <c r="R47" s="74">
        <v>1.71</v>
      </c>
      <c r="S47" s="88">
        <v>90</v>
      </c>
      <c r="T47" s="79"/>
      <c r="U47" s="75">
        <v>2.19</v>
      </c>
      <c r="V47" s="75">
        <v>2.25</v>
      </c>
      <c r="W47" s="75">
        <v>2.0499999999999998</v>
      </c>
      <c r="X47" s="75">
        <v>2.2000000000000002</v>
      </c>
      <c r="Y47" s="75">
        <v>2.15</v>
      </c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>
        <f t="shared" si="3"/>
        <v>2.1680000000000001</v>
      </c>
      <c r="AN47" s="89">
        <v>3.67</v>
      </c>
      <c r="AO47"/>
      <c r="AP47" s="76"/>
      <c r="AQ47" s="74">
        <f>AN47-(AN47-Q47)*(SIN((S47+AX47)*PI()/180))/(COS(AX47*PI()/180))</f>
        <v>-0.25</v>
      </c>
      <c r="AR47" s="82">
        <f>H47+($M$1-M47)-(AN47-Q47)*(COS(S47*PI()/180))*(SIN((T47+13+2.3)*PI()/180))</f>
        <v>635224.38399999996</v>
      </c>
      <c r="AS47" s="82">
        <f>I47+($N$1-N47)-(AN47-Q47)*(COS(S47*PI()/180))*(COS((T47+13+2.3)*PI()/180))</f>
        <v>3047094.3259999999</v>
      </c>
      <c r="AT47" s="82">
        <f>J47+($O$1-O47)-R47+AN47-(AN47-Q47)*(SIN(S47*PI()/180))-L47</f>
        <v>296.71100000000001</v>
      </c>
      <c r="AU47" s="69"/>
      <c r="AV47" s="92"/>
      <c r="AX47" s="79"/>
    </row>
    <row r="48" spans="1:50" x14ac:dyDescent="0.6">
      <c r="A48" s="105" t="s">
        <v>212</v>
      </c>
      <c r="B48" s="105"/>
      <c r="C48" s="105"/>
      <c r="D48" s="105"/>
      <c r="E48" s="105"/>
      <c r="F48" s="112"/>
      <c r="G48" s="338"/>
      <c r="H48" s="109"/>
      <c r="I48" s="110"/>
      <c r="J48" s="110"/>
      <c r="K48" s="248"/>
      <c r="L48" s="109"/>
      <c r="M48" s="105"/>
      <c r="N48" s="105"/>
      <c r="O48" s="105"/>
      <c r="P48" s="161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62"/>
      <c r="AO48" s="161"/>
      <c r="AP48" s="105"/>
      <c r="AQ48" s="105"/>
      <c r="AR48" s="105"/>
      <c r="AS48" s="105"/>
      <c r="AT48" s="105"/>
      <c r="AU48" s="105"/>
      <c r="AV48" s="105"/>
      <c r="AX48" s="115"/>
    </row>
    <row r="49" spans="1:50" x14ac:dyDescent="0.6">
      <c r="A49" s="105" t="s">
        <v>213</v>
      </c>
      <c r="B49" s="105"/>
      <c r="C49" s="105"/>
      <c r="D49" s="105"/>
      <c r="E49" s="105"/>
      <c r="F49" s="112"/>
      <c r="G49" s="338"/>
      <c r="H49" s="109"/>
      <c r="I49" s="110"/>
      <c r="J49" s="110"/>
      <c r="K49" s="248"/>
      <c r="L49" s="109"/>
      <c r="M49" s="105"/>
      <c r="N49" s="105"/>
      <c r="O49" s="105"/>
      <c r="P49" s="161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62"/>
      <c r="AO49" s="161"/>
      <c r="AP49" s="105"/>
      <c r="AQ49" s="105"/>
      <c r="AR49" s="105"/>
      <c r="AS49" s="105"/>
      <c r="AT49" s="105"/>
      <c r="AU49" s="105"/>
      <c r="AV49" s="105"/>
      <c r="AX49" s="115"/>
    </row>
    <row r="50" spans="1:50" x14ac:dyDescent="0.6">
      <c r="A50" s="157" t="s">
        <v>214</v>
      </c>
      <c r="B50" s="84" t="s">
        <v>277</v>
      </c>
      <c r="C50" s="84" t="s">
        <v>300</v>
      </c>
      <c r="D50" s="84" t="s">
        <v>261</v>
      </c>
      <c r="E50" s="85"/>
      <c r="F50" s="333"/>
      <c r="G50" s="86" t="s">
        <v>280</v>
      </c>
      <c r="H50" s="74">
        <v>634270.03200000001</v>
      </c>
      <c r="I50" s="75">
        <v>3047884.4980000001</v>
      </c>
      <c r="J50" s="75">
        <v>285.411</v>
      </c>
      <c r="K50" s="78" t="s">
        <v>279</v>
      </c>
      <c r="L50" s="329">
        <v>1.96</v>
      </c>
      <c r="M50" s="269">
        <v>633905.23300000001</v>
      </c>
      <c r="N50" s="269">
        <v>3049240.4479999999</v>
      </c>
      <c r="O50" s="269">
        <v>56.39</v>
      </c>
      <c r="P50" s="239" t="s">
        <v>342</v>
      </c>
      <c r="Q50" s="73">
        <v>-0.19</v>
      </c>
      <c r="R50" s="74">
        <v>1.77</v>
      </c>
      <c r="S50" s="88">
        <v>90</v>
      </c>
      <c r="T50" s="79"/>
      <c r="U50" s="75">
        <v>1.2</v>
      </c>
      <c r="V50" s="75">
        <v>1.2</v>
      </c>
      <c r="W50" s="75">
        <v>1.25</v>
      </c>
      <c r="X50" s="75">
        <v>1.4</v>
      </c>
      <c r="Y50" s="75">
        <v>1.4</v>
      </c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>
        <f t="shared" ref="AM50:AM51" si="4">AVERAGE(U50:AC50)</f>
        <v>1.2899999999999998</v>
      </c>
      <c r="AN50" s="89">
        <v>3.67</v>
      </c>
      <c r="AO50"/>
      <c r="AP50" s="76"/>
      <c r="AQ50" s="74">
        <f>AN50-(AN50-Q50)*(SIN((S50+AX50)*PI()/180))/(COS(AX50*PI()/180))</f>
        <v>-0.18999999999999995</v>
      </c>
      <c r="AR50" s="82">
        <f>H50+($M$1-M50)-(AN50-Q50)*(COS(S50*PI()/180))*(SIN((T50+13+2.3)*PI()/180))</f>
        <v>634270.03200000001</v>
      </c>
      <c r="AS50" s="82">
        <f>I50+($N$1-N50)-(AN50-Q50)*(COS(S50*PI()/180))*(COS((T50+13+2.3)*PI()/180))</f>
        <v>3047884.4980000001</v>
      </c>
      <c r="AT50" s="82">
        <f>J50+($O$1-O50)-R50+AN50-(AN50-Q50)*(SIN(S50*PI()/180))-L50</f>
        <v>281.38100000000003</v>
      </c>
      <c r="AU50" s="69"/>
      <c r="AV50" s="92"/>
      <c r="AX50" s="79"/>
    </row>
    <row r="51" spans="1:50" x14ac:dyDescent="0.6">
      <c r="A51" s="157" t="s">
        <v>215</v>
      </c>
      <c r="B51" s="84" t="s">
        <v>277</v>
      </c>
      <c r="C51" s="84" t="s">
        <v>301</v>
      </c>
      <c r="D51" s="84" t="s">
        <v>261</v>
      </c>
      <c r="E51" s="16"/>
      <c r="F51" s="333"/>
      <c r="G51" s="86" t="s">
        <v>280</v>
      </c>
      <c r="H51" s="74">
        <v>636070.272</v>
      </c>
      <c r="I51" s="75">
        <v>3048729.6910000001</v>
      </c>
      <c r="J51" s="75">
        <v>191.93199999999999</v>
      </c>
      <c r="K51" s="78" t="s">
        <v>279</v>
      </c>
      <c r="L51" s="82">
        <v>1.96</v>
      </c>
      <c r="M51" s="269">
        <v>633905.23300000001</v>
      </c>
      <c r="N51" s="269">
        <v>3049240.4479999999</v>
      </c>
      <c r="O51" s="269">
        <v>56.39</v>
      </c>
      <c r="P51" s="87" t="s">
        <v>352</v>
      </c>
      <c r="Q51" s="73">
        <v>0.01</v>
      </c>
      <c r="R51" s="74">
        <v>1.97</v>
      </c>
      <c r="S51" s="88">
        <v>90</v>
      </c>
      <c r="T51" s="79"/>
      <c r="U51" s="75">
        <v>2.1</v>
      </c>
      <c r="V51" s="75">
        <v>2.0099999999999998</v>
      </c>
      <c r="W51" s="75">
        <v>2.12</v>
      </c>
      <c r="X51" s="75">
        <v>2.1</v>
      </c>
      <c r="Y51" s="75">
        <v>2.11</v>
      </c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>
        <f t="shared" si="4"/>
        <v>2.0880000000000001</v>
      </c>
      <c r="AN51" s="89">
        <v>3.67</v>
      </c>
      <c r="AO51"/>
      <c r="AP51" s="76"/>
      <c r="AQ51" s="74">
        <f>AN51-(AN51-Q51)*(SIN((S51+AX51)*PI()/180))/(COS(AX51*PI()/180))</f>
        <v>9.9999999999997868E-3</v>
      </c>
      <c r="AR51" s="82">
        <f>H51+($M$1-M51)-(AN51-Q51)*(COS(S51*PI()/180))*(SIN((T51+13+2.3)*PI()/180))</f>
        <v>636070.272</v>
      </c>
      <c r="AS51" s="82">
        <f>I51+($N$1-N51)-(AN51-Q51)*(COS(S51*PI()/180))*(COS((T51+13+2.3)*PI()/180))</f>
        <v>3048729.6910000001</v>
      </c>
      <c r="AT51" s="82">
        <f>J51+($O$1-O51)-R51+AN51-(AN51-Q51)*(SIN(S51*PI()/180))-L51</f>
        <v>187.90199999999999</v>
      </c>
      <c r="AU51" s="69"/>
      <c r="AV51" s="92"/>
      <c r="AX51" s="79"/>
    </row>
    <row r="52" spans="1:50" x14ac:dyDescent="0.6">
      <c r="A52" s="154" t="s">
        <v>216</v>
      </c>
      <c r="B52" s="105"/>
      <c r="C52" s="105"/>
      <c r="D52" s="105"/>
      <c r="E52" s="106"/>
      <c r="F52" s="334"/>
      <c r="G52" s="108"/>
      <c r="H52" s="109"/>
      <c r="I52" s="110"/>
      <c r="J52" s="110"/>
      <c r="K52" s="248"/>
      <c r="L52" s="243"/>
      <c r="M52" s="134"/>
      <c r="N52" s="134"/>
      <c r="O52" s="134"/>
      <c r="P52" s="113"/>
      <c r="Q52" s="114"/>
      <c r="R52" s="109"/>
      <c r="S52" s="115"/>
      <c r="T52" s="115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62"/>
      <c r="AO52" s="156"/>
      <c r="AP52" s="118"/>
      <c r="AQ52" s="109"/>
      <c r="AR52" s="111"/>
      <c r="AS52" s="111"/>
      <c r="AT52" s="111"/>
      <c r="AU52" s="105"/>
      <c r="AV52" s="119"/>
      <c r="AX52" s="115"/>
    </row>
    <row r="53" spans="1:50" x14ac:dyDescent="0.6">
      <c r="A53" s="163" t="s">
        <v>217</v>
      </c>
      <c r="B53" s="105"/>
      <c r="C53" s="105"/>
      <c r="D53" s="105"/>
      <c r="E53" s="106"/>
      <c r="F53" s="334"/>
      <c r="G53" s="108"/>
      <c r="H53" s="109"/>
      <c r="I53" s="110"/>
      <c r="J53" s="110"/>
      <c r="K53" s="248"/>
      <c r="L53" s="243"/>
      <c r="M53" s="134"/>
      <c r="N53" s="134"/>
      <c r="O53" s="134"/>
      <c r="P53" s="113"/>
      <c r="Q53" s="114"/>
      <c r="R53" s="109"/>
      <c r="S53" s="115"/>
      <c r="T53" s="115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62"/>
      <c r="AO53" s="156"/>
      <c r="AP53" s="118"/>
      <c r="AQ53" s="109"/>
      <c r="AR53" s="111"/>
      <c r="AS53" s="111"/>
      <c r="AT53" s="111"/>
      <c r="AU53" s="105"/>
      <c r="AV53" s="119"/>
      <c r="AX53" s="115"/>
    </row>
    <row r="54" spans="1:50" x14ac:dyDescent="0.6">
      <c r="A54" s="105" t="s">
        <v>218</v>
      </c>
      <c r="B54" s="105"/>
      <c r="C54" s="105"/>
      <c r="D54" s="105"/>
      <c r="E54" s="105"/>
      <c r="F54" s="112"/>
      <c r="G54" s="338"/>
      <c r="H54" s="109"/>
      <c r="I54" s="110"/>
      <c r="J54" s="110"/>
      <c r="K54" s="248"/>
      <c r="L54" s="109"/>
      <c r="M54" s="105"/>
      <c r="N54" s="105"/>
      <c r="O54" s="105"/>
      <c r="P54" s="161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62"/>
      <c r="AO54" s="161"/>
      <c r="AP54" s="105"/>
      <c r="AQ54" s="105"/>
      <c r="AR54" s="105"/>
      <c r="AS54" s="105"/>
      <c r="AT54" s="105"/>
      <c r="AU54" s="105"/>
      <c r="AV54" s="105"/>
      <c r="AX54" s="115"/>
    </row>
    <row r="55" spans="1:50" x14ac:dyDescent="0.6">
      <c r="A55" s="14" t="s">
        <v>219</v>
      </c>
      <c r="B55" s="84" t="s">
        <v>303</v>
      </c>
      <c r="C55" s="84" t="s">
        <v>313</v>
      </c>
      <c r="D55" s="84" t="s">
        <v>261</v>
      </c>
      <c r="E55" s="85"/>
      <c r="F55" s="333"/>
      <c r="G55" s="80" t="s">
        <v>304</v>
      </c>
      <c r="H55" s="74">
        <v>636862.46299999999</v>
      </c>
      <c r="I55" s="75">
        <v>3048869.32</v>
      </c>
      <c r="J55" s="75">
        <v>253.46799999999999</v>
      </c>
      <c r="K55" s="78" t="s">
        <v>279</v>
      </c>
      <c r="L55" s="329">
        <v>1.96</v>
      </c>
      <c r="M55" s="82">
        <v>633905.23300000001</v>
      </c>
      <c r="N55" s="82">
        <v>3049240.4479999999</v>
      </c>
      <c r="O55" s="82">
        <v>56.39</v>
      </c>
      <c r="P55" s="239" t="s">
        <v>342</v>
      </c>
      <c r="Q55" s="73">
        <v>0.1</v>
      </c>
      <c r="R55" s="74">
        <v>2.06</v>
      </c>
      <c r="S55" s="88">
        <v>90</v>
      </c>
      <c r="T55" s="79"/>
      <c r="U55" s="75">
        <v>1.95</v>
      </c>
      <c r="V55" s="75">
        <v>1.96</v>
      </c>
      <c r="W55" s="75">
        <v>1.92</v>
      </c>
      <c r="X55" s="75">
        <v>1.98</v>
      </c>
      <c r="Y55" s="75">
        <v>1.9</v>
      </c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>
        <f>AVERAGE(U55:AC55)</f>
        <v>1.9420000000000002</v>
      </c>
      <c r="AN55" s="89">
        <v>3.67</v>
      </c>
      <c r="AO55"/>
      <c r="AP55" s="76"/>
      <c r="AQ55" s="74">
        <f>AN55-(AN55-Q55)*(SIN((S55+AX55)*PI()/180))/(COS(AX55*PI()/180))</f>
        <v>0.10000000000000009</v>
      </c>
      <c r="AR55" s="82">
        <f>H55+($M$1-M55)-(AN55-Q55)*(COS(S55*PI()/180))*(SIN((T55+13+2.3)*PI()/180))</f>
        <v>636862.46299999999</v>
      </c>
      <c r="AS55" s="82">
        <f>I55+($N$1-N55)-(AN55-Q55)*(COS(S55*PI()/180))*(COS((T55+13+2.3)*PI()/180))</f>
        <v>3048869.32</v>
      </c>
      <c r="AT55" s="82">
        <f>J55+($O$1-O55)-R55+AN55-(AN55-Q55)*(SIN(S55*PI()/180))-L55</f>
        <v>249.43799999999999</v>
      </c>
      <c r="AU55" s="69"/>
      <c r="AV55" s="92"/>
      <c r="AX55" s="79"/>
    </row>
    <row r="56" spans="1:50" x14ac:dyDescent="0.6">
      <c r="A56" s="163" t="s">
        <v>220</v>
      </c>
      <c r="B56" s="105"/>
      <c r="C56" s="105"/>
      <c r="D56" s="105"/>
      <c r="E56" s="106"/>
      <c r="F56" s="334"/>
      <c r="G56" s="108"/>
      <c r="H56" s="109"/>
      <c r="I56" s="110"/>
      <c r="J56" s="110"/>
      <c r="K56" s="248"/>
      <c r="L56" s="243"/>
      <c r="M56" s="134"/>
      <c r="N56" s="134"/>
      <c r="O56" s="134"/>
      <c r="P56" s="113"/>
      <c r="Q56" s="114"/>
      <c r="R56" s="109"/>
      <c r="S56" s="115"/>
      <c r="T56" s="115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62"/>
      <c r="AO56" s="156"/>
      <c r="AP56" s="118"/>
      <c r="AQ56" s="99"/>
      <c r="AR56" s="96"/>
      <c r="AS56" s="96"/>
      <c r="AT56" s="96"/>
      <c r="AU56" s="105"/>
      <c r="AV56" s="119"/>
      <c r="AX56" s="115"/>
    </row>
    <row r="57" spans="1:50" x14ac:dyDescent="0.6">
      <c r="A57" s="163" t="s">
        <v>221</v>
      </c>
      <c r="B57" s="105"/>
      <c r="C57" s="105"/>
      <c r="D57" s="105"/>
      <c r="E57" s="106"/>
      <c r="F57" s="334"/>
      <c r="G57" s="108"/>
      <c r="H57" s="109"/>
      <c r="I57" s="110"/>
      <c r="J57" s="110"/>
      <c r="K57" s="248"/>
      <c r="L57" s="243"/>
      <c r="M57" s="134"/>
      <c r="N57" s="134"/>
      <c r="O57" s="134"/>
      <c r="P57" s="113"/>
      <c r="Q57" s="114"/>
      <c r="R57" s="109"/>
      <c r="S57" s="115"/>
      <c r="T57" s="115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62"/>
      <c r="AO57" s="156"/>
      <c r="AP57" s="118"/>
      <c r="AQ57" s="99"/>
      <c r="AR57" s="96"/>
      <c r="AS57" s="96"/>
      <c r="AT57" s="96"/>
      <c r="AU57" s="105"/>
      <c r="AV57" s="119"/>
      <c r="AX57" s="115"/>
    </row>
    <row r="58" spans="1:50" x14ac:dyDescent="0.6">
      <c r="A58" s="163" t="s">
        <v>222</v>
      </c>
      <c r="B58" s="105"/>
      <c r="C58" s="105"/>
      <c r="D58" s="105"/>
      <c r="E58" s="106"/>
      <c r="F58" s="334"/>
      <c r="G58" s="108"/>
      <c r="H58" s="109"/>
      <c r="I58" s="110"/>
      <c r="J58" s="110"/>
      <c r="K58" s="248"/>
      <c r="L58" s="243"/>
      <c r="M58" s="134"/>
      <c r="N58" s="134"/>
      <c r="O58" s="134"/>
      <c r="P58" s="113"/>
      <c r="Q58" s="114"/>
      <c r="R58" s="109"/>
      <c r="S58" s="115"/>
      <c r="T58" s="115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62"/>
      <c r="AO58" s="156"/>
      <c r="AP58" s="118"/>
      <c r="AQ58" s="99"/>
      <c r="AR58" s="96"/>
      <c r="AS58" s="96"/>
      <c r="AT58" s="96"/>
      <c r="AU58" s="105"/>
      <c r="AV58" s="119"/>
      <c r="AX58" s="115"/>
    </row>
    <row r="59" spans="1:50" x14ac:dyDescent="0.6">
      <c r="A59" s="163" t="s">
        <v>223</v>
      </c>
      <c r="B59" s="105"/>
      <c r="C59" s="105"/>
      <c r="D59" s="105"/>
      <c r="E59" s="106"/>
      <c r="F59" s="334"/>
      <c r="G59" s="108"/>
      <c r="H59" s="109"/>
      <c r="I59" s="110"/>
      <c r="J59" s="110"/>
      <c r="K59" s="248"/>
      <c r="L59" s="243"/>
      <c r="M59" s="134"/>
      <c r="N59" s="134"/>
      <c r="O59" s="134"/>
      <c r="P59" s="113"/>
      <c r="Q59" s="114"/>
      <c r="R59" s="109"/>
      <c r="S59" s="115"/>
      <c r="T59" s="115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62"/>
      <c r="AO59" s="156"/>
      <c r="AP59" s="118"/>
      <c r="AQ59" s="99"/>
      <c r="AR59" s="96"/>
      <c r="AS59" s="96"/>
      <c r="AT59" s="96"/>
      <c r="AU59" s="105"/>
      <c r="AV59" s="119"/>
      <c r="AX59" s="115"/>
    </row>
    <row r="60" spans="1:50" x14ac:dyDescent="0.6">
      <c r="A60" s="163" t="s">
        <v>224</v>
      </c>
      <c r="B60" s="105"/>
      <c r="C60" s="105"/>
      <c r="D60" s="105"/>
      <c r="E60" s="106"/>
      <c r="F60" s="334"/>
      <c r="G60" s="108"/>
      <c r="H60" s="109"/>
      <c r="I60" s="110"/>
      <c r="J60" s="110"/>
      <c r="K60" s="248"/>
      <c r="L60" s="243"/>
      <c r="M60" s="134"/>
      <c r="N60" s="134"/>
      <c r="O60" s="134"/>
      <c r="P60" s="113"/>
      <c r="Q60" s="114"/>
      <c r="R60" s="109"/>
      <c r="S60" s="115"/>
      <c r="T60" s="115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62"/>
      <c r="AO60" s="156"/>
      <c r="AP60" s="118"/>
      <c r="AQ60" s="99"/>
      <c r="AR60" s="96"/>
      <c r="AS60" s="96"/>
      <c r="AT60" s="96"/>
      <c r="AU60" s="105"/>
      <c r="AV60" s="119"/>
      <c r="AX60" s="115"/>
    </row>
    <row r="61" spans="1:50" x14ac:dyDescent="0.6">
      <c r="A61" s="165" t="s">
        <v>225</v>
      </c>
      <c r="B61" s="84" t="s">
        <v>319</v>
      </c>
      <c r="C61" s="84" t="s">
        <v>320</v>
      </c>
      <c r="D61" s="84" t="s">
        <v>261</v>
      </c>
      <c r="E61" s="85"/>
      <c r="F61" s="333"/>
      <c r="G61" s="86" t="s">
        <v>321</v>
      </c>
      <c r="H61" s="19">
        <v>635384.93200000003</v>
      </c>
      <c r="I61" s="206">
        <v>3048930.514</v>
      </c>
      <c r="J61" s="19">
        <v>125.783</v>
      </c>
      <c r="K61" s="78" t="s">
        <v>279</v>
      </c>
      <c r="L61" s="19">
        <v>1E-3</v>
      </c>
      <c r="M61" s="82">
        <v>633905.23300000001</v>
      </c>
      <c r="N61" s="82">
        <v>3049240.4479999999</v>
      </c>
      <c r="O61" s="82">
        <v>56.39</v>
      </c>
      <c r="P61" s="341" t="s">
        <v>343</v>
      </c>
      <c r="Q61" s="73">
        <v>1.91</v>
      </c>
      <c r="R61" s="74">
        <v>1.9109999999999998</v>
      </c>
      <c r="S61" s="88">
        <v>90</v>
      </c>
      <c r="T61" s="79"/>
      <c r="U61" s="75">
        <v>0.41</v>
      </c>
      <c r="V61" s="75">
        <v>0.41</v>
      </c>
      <c r="W61" s="75">
        <v>0.48</v>
      </c>
      <c r="X61" s="75">
        <v>0.41</v>
      </c>
      <c r="Y61" s="75">
        <v>0.44</v>
      </c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>
        <f>AVERAGE(U61:AC61)</f>
        <v>0.43</v>
      </c>
      <c r="AN61" s="89">
        <v>3.67</v>
      </c>
      <c r="AO61" s="90"/>
      <c r="AP61" s="76"/>
      <c r="AQ61" s="74">
        <f t="shared" ref="AQ61:AQ67" si="5">AN61-(AN61-Q61)*(SIN((S61+AX61)*PI()/180))/(COS(AX61*PI()/180))</f>
        <v>1.91</v>
      </c>
      <c r="AR61" s="82">
        <f t="shared" ref="AR61:AR67" si="6">H61+($M$1-M61)-(AN61-Q61)*(COS(S61*PI()/180))*(SIN((T61+13+2.3)*PI()/180))</f>
        <v>635384.93200000003</v>
      </c>
      <c r="AS61" s="82">
        <f t="shared" ref="AS61:AS67" si="7">I61+($N$1-N61)-(AN61-Q61)*(COS(S61*PI()/180))*(COS((T61+13+2.3)*PI()/180))</f>
        <v>3048930.514</v>
      </c>
      <c r="AT61" s="82">
        <f t="shared" ref="AT61:AT67" si="8">J61+($O$1-O61)-R61+AN61-(AN61-Q61)*(SIN(S61*PI()/180))-L61</f>
        <v>125.67099999999999</v>
      </c>
      <c r="AU61" s="69"/>
      <c r="AV61" s="92"/>
      <c r="AX61" s="79"/>
    </row>
    <row r="62" spans="1:50" x14ac:dyDescent="0.6">
      <c r="A62" s="105" t="s">
        <v>226</v>
      </c>
      <c r="B62" s="105"/>
      <c r="C62" s="105"/>
      <c r="D62" s="105"/>
      <c r="E62" s="105"/>
      <c r="F62" s="112"/>
      <c r="G62" s="338"/>
      <c r="H62" s="109"/>
      <c r="I62" s="110"/>
      <c r="J62" s="110"/>
      <c r="K62" s="248"/>
      <c r="L62" s="109"/>
      <c r="M62" s="105"/>
      <c r="N62" s="105"/>
      <c r="O62" s="105"/>
      <c r="P62" s="161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62"/>
      <c r="AO62" s="161"/>
      <c r="AP62" s="105"/>
      <c r="AQ62" s="105"/>
      <c r="AR62" s="105"/>
      <c r="AS62" s="105"/>
      <c r="AT62" s="105"/>
      <c r="AU62" s="105"/>
      <c r="AV62" s="105"/>
      <c r="AX62" s="115"/>
    </row>
    <row r="63" spans="1:50" x14ac:dyDescent="0.6">
      <c r="A63" s="105" t="s">
        <v>227</v>
      </c>
      <c r="B63" s="105"/>
      <c r="C63" s="105"/>
      <c r="D63" s="105"/>
      <c r="E63" s="105"/>
      <c r="F63" s="112"/>
      <c r="G63" s="338"/>
      <c r="H63" s="109"/>
      <c r="I63" s="110"/>
      <c r="J63" s="110"/>
      <c r="K63" s="248"/>
      <c r="L63" s="109"/>
      <c r="M63" s="105"/>
      <c r="N63" s="105"/>
      <c r="O63" s="105"/>
      <c r="P63" s="161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62"/>
      <c r="AO63" s="161"/>
      <c r="AP63" s="105"/>
      <c r="AQ63" s="105"/>
      <c r="AR63" s="105"/>
      <c r="AS63" s="105"/>
      <c r="AT63" s="105"/>
      <c r="AU63" s="105"/>
      <c r="AV63" s="105"/>
      <c r="AX63" s="115"/>
    </row>
    <row r="64" spans="1:50" x14ac:dyDescent="0.6">
      <c r="A64" s="165" t="s">
        <v>228</v>
      </c>
      <c r="B64" s="84" t="s">
        <v>277</v>
      </c>
      <c r="C64" s="84" t="s">
        <v>302</v>
      </c>
      <c r="D64" s="84" t="s">
        <v>261</v>
      </c>
      <c r="E64" s="85"/>
      <c r="F64" s="333"/>
      <c r="G64" s="86" t="s">
        <v>280</v>
      </c>
      <c r="H64" s="19">
        <v>634726.06400000001</v>
      </c>
      <c r="I64" s="206">
        <v>3048365.9079999998</v>
      </c>
      <c r="J64" s="19">
        <v>193.44900000000001</v>
      </c>
      <c r="K64" s="78" t="s">
        <v>279</v>
      </c>
      <c r="L64" s="329">
        <v>1.96</v>
      </c>
      <c r="M64" s="269">
        <v>633905.23300000001</v>
      </c>
      <c r="N64" s="269">
        <v>3049240.4479999999</v>
      </c>
      <c r="O64" s="269">
        <v>56.39</v>
      </c>
      <c r="P64" s="239" t="s">
        <v>342</v>
      </c>
      <c r="Q64" s="73">
        <v>0.24</v>
      </c>
      <c r="R64" s="74">
        <v>2.2000000000000002</v>
      </c>
      <c r="S64" s="88">
        <v>90</v>
      </c>
      <c r="T64" s="79"/>
      <c r="U64" s="75">
        <v>1.6</v>
      </c>
      <c r="V64" s="75">
        <v>1.66</v>
      </c>
      <c r="W64" s="75">
        <v>1.58</v>
      </c>
      <c r="X64" s="75">
        <v>1.62</v>
      </c>
      <c r="Y64" s="75">
        <v>1.65</v>
      </c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302">
        <f t="shared" ref="AM64:AM71" si="9">AVERAGE(U64:AC64)</f>
        <v>1.6219999999999999</v>
      </c>
      <c r="AN64" s="301">
        <v>3.67</v>
      </c>
      <c r="AO64"/>
      <c r="AP64" s="76"/>
      <c r="AQ64" s="74">
        <f t="shared" si="5"/>
        <v>0.24000000000000021</v>
      </c>
      <c r="AR64" s="82">
        <f t="shared" si="6"/>
        <v>634726.06400000001</v>
      </c>
      <c r="AS64" s="82">
        <f t="shared" si="7"/>
        <v>3048365.9079999998</v>
      </c>
      <c r="AT64" s="82">
        <f t="shared" si="8"/>
        <v>189.41899999999998</v>
      </c>
      <c r="AU64" s="69"/>
      <c r="AV64" s="92"/>
      <c r="AX64" s="79"/>
    </row>
    <row r="65" spans="1:50" x14ac:dyDescent="0.6">
      <c r="A65" s="105" t="s">
        <v>229</v>
      </c>
      <c r="B65" s="105"/>
      <c r="C65" s="105"/>
      <c r="D65" s="105"/>
      <c r="E65" s="105"/>
      <c r="F65" s="112"/>
      <c r="G65" s="338"/>
      <c r="H65" s="109"/>
      <c r="I65" s="110"/>
      <c r="J65" s="110"/>
      <c r="K65" s="248"/>
      <c r="L65" s="109"/>
      <c r="M65" s="105"/>
      <c r="N65" s="105"/>
      <c r="O65" s="105"/>
      <c r="P65" s="161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62"/>
      <c r="AO65" s="161"/>
      <c r="AP65" s="105"/>
      <c r="AQ65" s="105"/>
      <c r="AR65" s="105"/>
      <c r="AS65" s="105"/>
      <c r="AT65" s="105"/>
      <c r="AU65" s="105"/>
      <c r="AV65" s="105"/>
      <c r="AX65" s="115"/>
    </row>
    <row r="66" spans="1:50" x14ac:dyDescent="0.6">
      <c r="A66" s="208" t="s">
        <v>230</v>
      </c>
      <c r="B66" s="208" t="s">
        <v>319</v>
      </c>
      <c r="C66" s="208" t="s">
        <v>320</v>
      </c>
      <c r="D66" s="84" t="s">
        <v>261</v>
      </c>
      <c r="E66" s="217"/>
      <c r="F66" s="228"/>
      <c r="G66" s="86" t="s">
        <v>321</v>
      </c>
      <c r="H66" s="229">
        <v>635713.20400000003</v>
      </c>
      <c r="I66" s="206">
        <v>3048730.2769999998</v>
      </c>
      <c r="J66" s="206">
        <v>164.233</v>
      </c>
      <c r="K66" s="249" t="s">
        <v>279</v>
      </c>
      <c r="L66" s="19">
        <v>1E-3</v>
      </c>
      <c r="M66" s="206">
        <v>633905.23300000001</v>
      </c>
      <c r="N66" s="206">
        <v>3049240.4479999999</v>
      </c>
      <c r="O66" s="208">
        <v>56.39</v>
      </c>
      <c r="P66" s="87" t="s">
        <v>343</v>
      </c>
      <c r="Q66" s="206">
        <v>1.46</v>
      </c>
      <c r="R66" s="206">
        <v>1.4609999999999999</v>
      </c>
      <c r="S66" s="220">
        <v>90</v>
      </c>
      <c r="T66" s="206"/>
      <c r="U66" s="206">
        <v>0.59</v>
      </c>
      <c r="V66" s="206">
        <v>0.87</v>
      </c>
      <c r="W66" s="206">
        <v>0.59</v>
      </c>
      <c r="X66" s="206">
        <v>0.82</v>
      </c>
      <c r="Y66" s="206">
        <v>0.63</v>
      </c>
      <c r="Z66" s="206"/>
      <c r="AA66" s="206"/>
      <c r="AB66" s="206"/>
      <c r="AC66" s="206"/>
      <c r="AD66" s="206"/>
      <c r="AE66" s="206"/>
      <c r="AF66" s="206"/>
      <c r="AG66" s="206"/>
      <c r="AH66" s="206"/>
      <c r="AI66" s="206"/>
      <c r="AJ66" s="206"/>
      <c r="AK66" s="206"/>
      <c r="AL66" s="206"/>
      <c r="AM66" s="75">
        <f t="shared" si="9"/>
        <v>0.7</v>
      </c>
      <c r="AN66" s="89">
        <v>3.67</v>
      </c>
      <c r="AO66"/>
      <c r="AP66" s="76"/>
      <c r="AQ66" s="74">
        <f t="shared" si="5"/>
        <v>1.46</v>
      </c>
      <c r="AR66" s="82">
        <f t="shared" si="6"/>
        <v>635713.20400000003</v>
      </c>
      <c r="AS66" s="82">
        <f t="shared" si="7"/>
        <v>3048730.2769999998</v>
      </c>
      <c r="AT66" s="82">
        <f t="shared" si="8"/>
        <v>164.12099999999995</v>
      </c>
      <c r="AU66" s="69"/>
      <c r="AV66" s="92"/>
      <c r="AX66" s="79"/>
    </row>
    <row r="67" spans="1:50" x14ac:dyDescent="0.6">
      <c r="A67" s="208" t="s">
        <v>231</v>
      </c>
      <c r="B67" s="84" t="s">
        <v>319</v>
      </c>
      <c r="C67" s="208" t="s">
        <v>320</v>
      </c>
      <c r="D67" s="84" t="s">
        <v>261</v>
      </c>
      <c r="E67" s="217"/>
      <c r="F67" s="228"/>
      <c r="G67" s="80" t="s">
        <v>321</v>
      </c>
      <c r="H67" s="229">
        <v>635576.90399999998</v>
      </c>
      <c r="I67" s="206">
        <v>3049011.071</v>
      </c>
      <c r="J67" s="206">
        <v>142.65</v>
      </c>
      <c r="K67" s="249" t="s">
        <v>279</v>
      </c>
      <c r="L67" s="19">
        <v>0.4</v>
      </c>
      <c r="M67" s="206">
        <v>633905.23300000001</v>
      </c>
      <c r="N67" s="206">
        <v>3049240.4479999999</v>
      </c>
      <c r="O67" s="208">
        <v>56.39</v>
      </c>
      <c r="P67" s="239" t="s">
        <v>356</v>
      </c>
      <c r="Q67" s="206">
        <v>1.21</v>
      </c>
      <c r="R67" s="206">
        <v>1.6099999999999999</v>
      </c>
      <c r="S67" s="220">
        <v>90</v>
      </c>
      <c r="T67" s="206"/>
      <c r="U67" s="206">
        <v>0</v>
      </c>
      <c r="V67" s="206">
        <v>0</v>
      </c>
      <c r="W67" s="206">
        <v>0</v>
      </c>
      <c r="X67" s="206">
        <v>0</v>
      </c>
      <c r="Y67" s="206">
        <v>0</v>
      </c>
      <c r="Z67" s="206"/>
      <c r="AA67" s="206"/>
      <c r="AB67" s="206"/>
      <c r="AC67" s="206"/>
      <c r="AD67" s="206"/>
      <c r="AE67" s="206"/>
      <c r="AF67" s="206"/>
      <c r="AG67" s="206"/>
      <c r="AH67" s="206"/>
      <c r="AI67" s="206"/>
      <c r="AJ67" s="206"/>
      <c r="AK67" s="206"/>
      <c r="AL67" s="206"/>
      <c r="AM67" s="75">
        <f t="shared" si="9"/>
        <v>0</v>
      </c>
      <c r="AN67" s="89">
        <v>3.67</v>
      </c>
      <c r="AO67"/>
      <c r="AP67" s="76"/>
      <c r="AQ67" s="74">
        <f t="shared" si="5"/>
        <v>1.21</v>
      </c>
      <c r="AR67" s="82">
        <f t="shared" si="6"/>
        <v>635576.90399999998</v>
      </c>
      <c r="AS67" s="82">
        <f t="shared" si="7"/>
        <v>3049011.071</v>
      </c>
      <c r="AT67" s="82">
        <f t="shared" si="8"/>
        <v>141.73999999999998</v>
      </c>
      <c r="AU67" s="69"/>
      <c r="AV67" s="92"/>
      <c r="AX67" s="79"/>
    </row>
    <row r="68" spans="1:50" ht="12.35" customHeight="1" x14ac:dyDescent="0.6">
      <c r="A68" s="105" t="s">
        <v>232</v>
      </c>
      <c r="B68" s="105"/>
      <c r="C68" s="105"/>
      <c r="D68" s="105"/>
      <c r="E68" s="105"/>
      <c r="F68" s="112"/>
      <c r="G68" s="338"/>
      <c r="H68" s="109"/>
      <c r="I68" s="110"/>
      <c r="J68" s="110"/>
      <c r="K68" s="248"/>
      <c r="L68" s="109"/>
      <c r="M68" s="105"/>
      <c r="N68" s="105"/>
      <c r="O68" s="105"/>
      <c r="P68" s="161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62"/>
      <c r="AO68" s="161"/>
      <c r="AP68" s="105"/>
      <c r="AQ68" s="105"/>
      <c r="AR68" s="105"/>
      <c r="AS68" s="105"/>
      <c r="AT68" s="105"/>
      <c r="AU68" s="105"/>
      <c r="AV68" s="105"/>
      <c r="AX68" s="115"/>
    </row>
    <row r="69" spans="1:50" x14ac:dyDescent="0.6">
      <c r="A69" s="105" t="s">
        <v>233</v>
      </c>
      <c r="B69" s="105"/>
      <c r="C69" s="105"/>
      <c r="D69" s="105"/>
      <c r="E69" s="105"/>
      <c r="F69" s="112"/>
      <c r="G69" s="338"/>
      <c r="H69" s="109"/>
      <c r="I69" s="110"/>
      <c r="J69" s="110"/>
      <c r="K69" s="248"/>
      <c r="L69" s="109"/>
      <c r="M69" s="105"/>
      <c r="N69" s="105"/>
      <c r="O69" s="105"/>
      <c r="P69" s="161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62"/>
      <c r="AO69" s="161"/>
      <c r="AP69" s="105"/>
      <c r="AQ69" s="105"/>
      <c r="AR69" s="105"/>
      <c r="AS69" s="105"/>
      <c r="AT69" s="105"/>
      <c r="AU69" s="105"/>
      <c r="AV69" s="105"/>
      <c r="AX69" s="115"/>
    </row>
    <row r="70" spans="1:50" x14ac:dyDescent="0.6">
      <c r="A70" s="208" t="s">
        <v>234</v>
      </c>
      <c r="B70" s="84" t="s">
        <v>329</v>
      </c>
      <c r="C70" s="207" t="s">
        <v>333</v>
      </c>
      <c r="D70" s="84" t="s">
        <v>261</v>
      </c>
      <c r="E70" s="217"/>
      <c r="F70" s="228"/>
      <c r="G70" s="339" t="s">
        <v>331</v>
      </c>
      <c r="H70" s="229">
        <v>635695.43500000006</v>
      </c>
      <c r="I70" s="206">
        <v>3049193.125</v>
      </c>
      <c r="J70" s="206">
        <v>129.94999999999999</v>
      </c>
      <c r="K70" s="249" t="s">
        <v>279</v>
      </c>
      <c r="L70" s="329">
        <v>1.96</v>
      </c>
      <c r="M70" s="206">
        <v>633905.23300000001</v>
      </c>
      <c r="N70" s="206">
        <v>3049240.4479999999</v>
      </c>
      <c r="O70" s="208">
        <v>56.39</v>
      </c>
      <c r="P70" s="239" t="s">
        <v>342</v>
      </c>
      <c r="Q70" s="206">
        <v>-1.61</v>
      </c>
      <c r="R70" s="206">
        <v>0.34999999999999987</v>
      </c>
      <c r="S70" s="220">
        <v>65.84</v>
      </c>
      <c r="T70" s="206">
        <v>266.32</v>
      </c>
      <c r="U70" s="206">
        <v>2.4</v>
      </c>
      <c r="V70" s="206">
        <v>2.4</v>
      </c>
      <c r="W70" s="206">
        <v>2.4</v>
      </c>
      <c r="X70" s="206">
        <v>2.4</v>
      </c>
      <c r="Y70" s="206">
        <v>2.4</v>
      </c>
      <c r="Z70" s="206"/>
      <c r="AA70" s="206"/>
      <c r="AB70" s="206"/>
      <c r="AC70" s="206"/>
      <c r="AD70" s="206"/>
      <c r="AE70" s="206"/>
      <c r="AF70" s="206"/>
      <c r="AG70" s="206"/>
      <c r="AH70" s="206"/>
      <c r="AI70" s="206"/>
      <c r="AJ70" s="206"/>
      <c r="AK70" s="206"/>
      <c r="AL70" s="206"/>
      <c r="AM70" s="75">
        <f t="shared" si="9"/>
        <v>2.4</v>
      </c>
      <c r="AN70" s="89">
        <v>3.67</v>
      </c>
      <c r="AO70" s="127"/>
      <c r="AP70" s="76"/>
      <c r="AQ70" s="74">
        <f>AN70-(AN70-Q70)*(SIN((S70+AX70)*PI()/180))/(COS(AX70*PI()/180))</f>
        <v>-1.1475040714365292</v>
      </c>
      <c r="AR70" s="82">
        <f>H70+($M$1-M70)-(AN70-Q70)*(COS(S70*PI()/180))*(SIN((T70+13+2.3)*PI()/180))</f>
        <v>635697.55174056627</v>
      </c>
      <c r="AS70" s="82">
        <f>I70+($N$1-N70)-(AN70-Q70)*(COS(S70*PI()/180))*(COS((T70+13+2.3)*PI()/180))</f>
        <v>3049192.6897254921</v>
      </c>
      <c r="AT70" s="82">
        <f>J70+($O$1-O70)-R70+AN70-(AN70-Q70)*(SIN(S70*PI()/180))-L70</f>
        <v>126.38249592856344</v>
      </c>
      <c r="AU70" s="69"/>
      <c r="AV70" s="92"/>
      <c r="AX70" s="79"/>
    </row>
    <row r="71" spans="1:50" s="331" customFormat="1" x14ac:dyDescent="0.6">
      <c r="A71" s="309" t="s">
        <v>235</v>
      </c>
      <c r="B71" s="310"/>
      <c r="C71" s="309"/>
      <c r="D71" s="310"/>
      <c r="E71" s="311"/>
      <c r="F71" s="335"/>
      <c r="G71" s="340"/>
      <c r="H71" s="336"/>
      <c r="I71" s="312"/>
      <c r="J71" s="312"/>
      <c r="K71" s="313"/>
      <c r="L71" s="314"/>
      <c r="M71" s="312"/>
      <c r="N71" s="312"/>
      <c r="O71" s="309"/>
      <c r="P71" s="315" t="s">
        <v>334</v>
      </c>
      <c r="Q71" s="312"/>
      <c r="R71" s="312"/>
      <c r="S71" s="33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  <c r="AJ71" s="312"/>
      <c r="AK71" s="312"/>
      <c r="AL71" s="312"/>
      <c r="AM71" s="316"/>
      <c r="AN71" s="301"/>
      <c r="AO71" s="317"/>
      <c r="AP71" s="318"/>
      <c r="AQ71" s="319"/>
      <c r="AR71" s="320"/>
      <c r="AS71" s="320"/>
      <c r="AT71" s="320"/>
      <c r="AU71" s="321"/>
      <c r="AV71" s="322"/>
      <c r="AX71" s="323"/>
    </row>
    <row r="72" spans="1:50" x14ac:dyDescent="0.6">
      <c r="A72" s="105" t="s">
        <v>236</v>
      </c>
      <c r="B72" s="105"/>
      <c r="C72" s="105"/>
      <c r="D72" s="105"/>
      <c r="E72" s="105"/>
      <c r="F72" s="112"/>
      <c r="G72" s="338"/>
      <c r="H72" s="109"/>
      <c r="I72" s="110"/>
      <c r="J72" s="110"/>
      <c r="K72" s="248"/>
      <c r="L72" s="109"/>
      <c r="M72" s="105"/>
      <c r="N72" s="105"/>
      <c r="O72" s="105"/>
      <c r="P72" s="161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62"/>
      <c r="AO72" s="161"/>
      <c r="AP72" s="105"/>
      <c r="AQ72" s="105"/>
      <c r="AR72" s="105"/>
      <c r="AS72" s="105"/>
      <c r="AT72" s="105"/>
      <c r="AU72" s="105"/>
      <c r="AV72" s="105"/>
      <c r="AX72" s="115"/>
    </row>
    <row r="73" spans="1:50" x14ac:dyDescent="0.6">
      <c r="A73" s="208" t="s">
        <v>263</v>
      </c>
      <c r="B73" s="84" t="s">
        <v>303</v>
      </c>
      <c r="C73" s="208" t="s">
        <v>312</v>
      </c>
      <c r="D73" s="84" t="s">
        <v>261</v>
      </c>
      <c r="E73" s="217"/>
      <c r="F73" s="228"/>
      <c r="G73" s="80" t="s">
        <v>304</v>
      </c>
      <c r="H73" s="229">
        <v>634375.63399999996</v>
      </c>
      <c r="I73" s="206">
        <v>3047600.9070000001</v>
      </c>
      <c r="J73" s="206">
        <v>306.29300000000001</v>
      </c>
      <c r="K73" s="249" t="s">
        <v>279</v>
      </c>
      <c r="L73" s="19">
        <v>0.77</v>
      </c>
      <c r="M73" s="206">
        <v>633905.23300000001</v>
      </c>
      <c r="N73" s="206">
        <v>3049240.4479999999</v>
      </c>
      <c r="O73" s="208">
        <v>56.39</v>
      </c>
      <c r="P73" s="239" t="s">
        <v>357</v>
      </c>
      <c r="Q73" s="206">
        <v>0.18</v>
      </c>
      <c r="R73" s="206">
        <v>0.95</v>
      </c>
      <c r="S73" s="220">
        <v>90</v>
      </c>
      <c r="T73" s="206"/>
      <c r="U73" s="206">
        <v>1.79</v>
      </c>
      <c r="V73" s="206">
        <v>1.88</v>
      </c>
      <c r="W73" s="206">
        <v>1.89</v>
      </c>
      <c r="X73" s="206">
        <v>1.75</v>
      </c>
      <c r="Y73" s="206">
        <v>1.88</v>
      </c>
      <c r="Z73" s="206"/>
      <c r="AA73" s="206"/>
      <c r="AB73" s="206"/>
      <c r="AC73" s="206"/>
      <c r="AD73" s="206"/>
      <c r="AE73" s="206"/>
      <c r="AF73" s="206"/>
      <c r="AG73" s="206"/>
      <c r="AH73" s="206"/>
      <c r="AI73" s="206"/>
      <c r="AJ73" s="206"/>
      <c r="AK73" s="206"/>
      <c r="AL73" s="206"/>
      <c r="AM73" s="75">
        <f t="shared" ref="AM73:AM76" si="10">AVERAGE(U73:AC73)</f>
        <v>1.8379999999999999</v>
      </c>
      <c r="AN73" s="89">
        <v>3.67</v>
      </c>
      <c r="AO73" s="90"/>
      <c r="AP73" s="76"/>
      <c r="AQ73" s="74">
        <f t="shared" ref="AQ73:AQ76" si="11">AN73-(AN73-Q73)*(SIN((S73+AX73)*PI()/180))/(COS(AX73*PI()/180))</f>
        <v>0.18000000000000016</v>
      </c>
      <c r="AR73" s="82">
        <f t="shared" ref="AR73:AR76" si="12">H73+($M$1-M73)-(AN73-Q73)*(COS(S73*PI()/180))*(SIN((T73+13+2.3)*PI()/180))</f>
        <v>634375.63399999996</v>
      </c>
      <c r="AS73" s="82">
        <f t="shared" ref="AS73:AS76" si="13">I73+($N$1-N73)-(AN73-Q73)*(COS(S73*PI()/180))*(COS((T73+13+2.3)*PI()/180))</f>
        <v>3047600.9070000001</v>
      </c>
      <c r="AT73" s="82">
        <f t="shared" ref="AT73:AT76" si="14">J73+($O$1-O73)-R73+AN73-(AN73-Q73)*(SIN(S73*PI()/180))-L73</f>
        <v>304.64300000000003</v>
      </c>
      <c r="AU73" s="69"/>
      <c r="AV73" s="92"/>
      <c r="AX73" s="79"/>
    </row>
    <row r="74" spans="1:50" x14ac:dyDescent="0.6">
      <c r="A74" s="208" t="s">
        <v>264</v>
      </c>
      <c r="B74" s="84" t="s">
        <v>303</v>
      </c>
      <c r="C74" s="208" t="s">
        <v>309</v>
      </c>
      <c r="D74" s="84" t="s">
        <v>261</v>
      </c>
      <c r="E74" s="217"/>
      <c r="F74" s="228"/>
      <c r="G74" s="80" t="s">
        <v>304</v>
      </c>
      <c r="H74" s="229">
        <v>634973.16799999995</v>
      </c>
      <c r="I74" s="206">
        <v>3046705.4389999998</v>
      </c>
      <c r="J74" s="206">
        <v>339.69400000000002</v>
      </c>
      <c r="K74" s="249" t="s">
        <v>279</v>
      </c>
      <c r="L74" s="19">
        <v>0.89</v>
      </c>
      <c r="M74" s="206">
        <v>633905.23300000001</v>
      </c>
      <c r="N74" s="206">
        <v>3049240.4479999999</v>
      </c>
      <c r="O74" s="208">
        <v>56.39</v>
      </c>
      <c r="P74" s="239" t="s">
        <v>358</v>
      </c>
      <c r="Q74" s="206">
        <v>0.06</v>
      </c>
      <c r="R74" s="206">
        <v>0.95</v>
      </c>
      <c r="S74" s="220">
        <v>90</v>
      </c>
      <c r="T74" s="206"/>
      <c r="U74" s="206">
        <v>2.17</v>
      </c>
      <c r="V74" s="206">
        <v>2.1800000000000002</v>
      </c>
      <c r="W74" s="206">
        <v>2.25</v>
      </c>
      <c r="X74" s="206">
        <v>2.25</v>
      </c>
      <c r="Y74" s="206">
        <v>2.17</v>
      </c>
      <c r="Z74" s="206"/>
      <c r="AA74" s="206"/>
      <c r="AB74" s="206"/>
      <c r="AC74" s="206"/>
      <c r="AD74" s="206"/>
      <c r="AE74" s="206"/>
      <c r="AF74" s="206"/>
      <c r="AG74" s="206"/>
      <c r="AH74" s="206"/>
      <c r="AI74" s="206"/>
      <c r="AJ74" s="206"/>
      <c r="AK74" s="206"/>
      <c r="AL74" s="206"/>
      <c r="AM74" s="75">
        <f t="shared" si="10"/>
        <v>2.2039999999999997</v>
      </c>
      <c r="AN74" s="89">
        <v>3.67</v>
      </c>
      <c r="AO74" s="90"/>
      <c r="AP74" s="76"/>
      <c r="AQ74" s="74">
        <f t="shared" si="11"/>
        <v>6.0000000000000053E-2</v>
      </c>
      <c r="AR74" s="82">
        <f t="shared" si="12"/>
        <v>634973.16799999995</v>
      </c>
      <c r="AS74" s="82">
        <f t="shared" si="13"/>
        <v>3046705.4389999998</v>
      </c>
      <c r="AT74" s="82">
        <f t="shared" si="14"/>
        <v>337.80400000000003</v>
      </c>
      <c r="AU74" s="69"/>
      <c r="AV74" s="92"/>
      <c r="AX74" s="79"/>
    </row>
    <row r="75" spans="1:50" x14ac:dyDescent="0.6">
      <c r="A75" s="208" t="s">
        <v>265</v>
      </c>
      <c r="B75" s="84" t="s">
        <v>277</v>
      </c>
      <c r="C75" s="207" t="s">
        <v>335</v>
      </c>
      <c r="D75" s="84" t="s">
        <v>261</v>
      </c>
      <c r="E75" s="217"/>
      <c r="F75" s="228"/>
      <c r="G75" s="339" t="s">
        <v>280</v>
      </c>
      <c r="H75" s="229">
        <v>636157.68900000001</v>
      </c>
      <c r="I75" s="206">
        <v>3048357.71</v>
      </c>
      <c r="J75" s="206">
        <v>215.36199999999999</v>
      </c>
      <c r="K75" s="249" t="s">
        <v>279</v>
      </c>
      <c r="L75" s="329">
        <v>1.96</v>
      </c>
      <c r="M75" s="206">
        <v>633905.23300000001</v>
      </c>
      <c r="N75" s="206">
        <v>3049240.4479999999</v>
      </c>
      <c r="O75" s="208">
        <v>56.39</v>
      </c>
      <c r="P75" s="239" t="s">
        <v>342</v>
      </c>
      <c r="Q75" s="206">
        <v>-7.0000000000000007E-2</v>
      </c>
      <c r="R75" s="206">
        <v>1.89</v>
      </c>
      <c r="S75" s="220">
        <v>90</v>
      </c>
      <c r="T75" s="206"/>
      <c r="U75" s="206">
        <v>1.95</v>
      </c>
      <c r="V75" s="206">
        <v>2</v>
      </c>
      <c r="W75" s="206">
        <v>1.85</v>
      </c>
      <c r="X75" s="206">
        <v>1.98</v>
      </c>
      <c r="Y75" s="206">
        <v>1.85</v>
      </c>
      <c r="Z75" s="206"/>
      <c r="AA75" s="206"/>
      <c r="AB75" s="206"/>
      <c r="AC75" s="206"/>
      <c r="AD75" s="206"/>
      <c r="AE75" s="206"/>
      <c r="AF75" s="206"/>
      <c r="AG75" s="206"/>
      <c r="AH75" s="206"/>
      <c r="AI75" s="206"/>
      <c r="AJ75" s="206"/>
      <c r="AK75" s="206"/>
      <c r="AL75" s="206"/>
      <c r="AM75" s="75">
        <f t="shared" si="10"/>
        <v>1.9260000000000002</v>
      </c>
      <c r="AN75" s="89">
        <v>3.67</v>
      </c>
      <c r="AO75" s="90"/>
      <c r="AP75" s="76"/>
      <c r="AQ75" s="74">
        <f t="shared" si="11"/>
        <v>-6.999999999999984E-2</v>
      </c>
      <c r="AR75" s="82">
        <f t="shared" si="12"/>
        <v>636157.68900000001</v>
      </c>
      <c r="AS75" s="82">
        <f t="shared" si="13"/>
        <v>3048357.71</v>
      </c>
      <c r="AT75" s="82">
        <f t="shared" si="14"/>
        <v>211.33199999999999</v>
      </c>
      <c r="AU75" s="69"/>
      <c r="AV75" s="92"/>
      <c r="AX75" s="79"/>
    </row>
    <row r="76" spans="1:50" x14ac:dyDescent="0.6">
      <c r="A76" s="208" t="s">
        <v>266</v>
      </c>
      <c r="B76" s="84" t="s">
        <v>303</v>
      </c>
      <c r="C76" s="208" t="s">
        <v>315</v>
      </c>
      <c r="D76" s="84" t="s">
        <v>261</v>
      </c>
      <c r="E76" s="217"/>
      <c r="F76" s="228"/>
      <c r="G76" s="80" t="s">
        <v>304</v>
      </c>
      <c r="H76" s="229">
        <v>636755.53700000001</v>
      </c>
      <c r="I76" s="206">
        <v>3049592.1529999999</v>
      </c>
      <c r="J76" s="206">
        <v>265.92</v>
      </c>
      <c r="K76" s="249" t="s">
        <v>279</v>
      </c>
      <c r="L76" s="329">
        <v>1.96</v>
      </c>
      <c r="M76" s="206">
        <v>633905.23300000001</v>
      </c>
      <c r="N76" s="206">
        <v>3049240.4479999999</v>
      </c>
      <c r="O76" s="208">
        <v>56.39</v>
      </c>
      <c r="P76" s="239" t="s">
        <v>342</v>
      </c>
      <c r="Q76" s="206">
        <v>-0.2</v>
      </c>
      <c r="R76" s="206">
        <v>1.76</v>
      </c>
      <c r="S76" s="220">
        <v>90</v>
      </c>
      <c r="T76" s="206"/>
      <c r="U76" s="206">
        <v>2.15</v>
      </c>
      <c r="V76" s="206">
        <v>2.2000000000000002</v>
      </c>
      <c r="W76" s="206">
        <v>1.98</v>
      </c>
      <c r="X76" s="206">
        <v>2.14</v>
      </c>
      <c r="Y76" s="206">
        <v>2.16</v>
      </c>
      <c r="Z76" s="206"/>
      <c r="AA76" s="206"/>
      <c r="AB76" s="206"/>
      <c r="AC76" s="206"/>
      <c r="AD76" s="206"/>
      <c r="AE76" s="206"/>
      <c r="AF76" s="206"/>
      <c r="AG76" s="206"/>
      <c r="AH76" s="206"/>
      <c r="AI76" s="206"/>
      <c r="AJ76" s="206"/>
      <c r="AK76" s="206"/>
      <c r="AL76" s="206"/>
      <c r="AM76" s="75">
        <f t="shared" si="10"/>
        <v>2.1260000000000003</v>
      </c>
      <c r="AN76" s="89">
        <v>3.67</v>
      </c>
      <c r="AO76" s="90"/>
      <c r="AP76" s="76"/>
      <c r="AQ76" s="74">
        <f t="shared" si="11"/>
        <v>-0.20000000000000018</v>
      </c>
      <c r="AR76" s="82">
        <f t="shared" si="12"/>
        <v>636755.53700000001</v>
      </c>
      <c r="AS76" s="82">
        <f t="shared" si="13"/>
        <v>3049592.1529999999</v>
      </c>
      <c r="AT76" s="82">
        <f t="shared" si="14"/>
        <v>261.89000000000004</v>
      </c>
      <c r="AU76" s="69"/>
      <c r="AV76" s="92"/>
      <c r="AX76" s="79"/>
    </row>
    <row r="77" spans="1:50" x14ac:dyDescent="0.6">
      <c r="A77" s="208" t="s">
        <v>274</v>
      </c>
      <c r="B77" s="84" t="s">
        <v>319</v>
      </c>
      <c r="C77" s="208" t="s">
        <v>320</v>
      </c>
      <c r="D77" s="84" t="s">
        <v>261</v>
      </c>
      <c r="E77" s="217"/>
      <c r="F77" s="228"/>
      <c r="G77" s="80" t="s">
        <v>321</v>
      </c>
      <c r="H77" s="229">
        <v>635455.09600000002</v>
      </c>
      <c r="I77" s="206">
        <v>3048801.9509999999</v>
      </c>
      <c r="J77" s="206">
        <v>140.27600000000001</v>
      </c>
      <c r="K77" s="249" t="s">
        <v>279</v>
      </c>
      <c r="L77" s="329">
        <v>1.96</v>
      </c>
      <c r="M77" s="206">
        <v>633905.23300000001</v>
      </c>
      <c r="N77" s="206">
        <v>3049240.4479999999</v>
      </c>
      <c r="O77" s="208">
        <v>56.39</v>
      </c>
      <c r="P77" s="239" t="s">
        <v>342</v>
      </c>
      <c r="Q77" s="206">
        <v>0.09</v>
      </c>
      <c r="R77" s="206">
        <v>2.0499999999999998</v>
      </c>
      <c r="S77" s="220">
        <v>90</v>
      </c>
      <c r="T77" s="206"/>
      <c r="U77" s="206">
        <v>0.47</v>
      </c>
      <c r="V77" s="206">
        <v>0.53</v>
      </c>
      <c r="W77" s="206">
        <v>0.53</v>
      </c>
      <c r="X77" s="206">
        <v>0.51</v>
      </c>
      <c r="Y77" s="206">
        <v>0.51</v>
      </c>
      <c r="Z77" s="206"/>
      <c r="AA77" s="206"/>
      <c r="AB77" s="206"/>
      <c r="AC77" s="206"/>
      <c r="AD77" s="206"/>
      <c r="AE77" s="206"/>
      <c r="AF77" s="206"/>
      <c r="AG77" s="206"/>
      <c r="AH77" s="206"/>
      <c r="AI77" s="206"/>
      <c r="AJ77" s="206"/>
      <c r="AK77" s="206"/>
      <c r="AL77" s="206"/>
      <c r="AM77" s="75">
        <f t="shared" ref="AM77:AM78" si="15">AVERAGE(U77:AC77)</f>
        <v>0.51</v>
      </c>
      <c r="AN77" s="89">
        <v>3.67</v>
      </c>
      <c r="AO77" s="90"/>
      <c r="AP77" s="76"/>
      <c r="AQ77" s="74">
        <f t="shared" ref="AQ77:AQ78" si="16">AN77-(AN77-Q77)*(SIN((S77+AX77)*PI()/180))/(COS(AX77*PI()/180))</f>
        <v>8.9999999999999858E-2</v>
      </c>
      <c r="AR77" s="82">
        <f t="shared" ref="AR77:AR78" si="17">H77+($M$1-M77)-(AN77-Q77)*(COS(S77*PI()/180))*(SIN((T77+13+2.3)*PI()/180))</f>
        <v>635455.09600000002</v>
      </c>
      <c r="AS77" s="82">
        <f t="shared" ref="AS77:AS78" si="18">I77+($N$1-N77)-(AN77-Q77)*(COS(S77*PI()/180))*(COS((T77+13+2.3)*PI()/180))</f>
        <v>3048801.9509999999</v>
      </c>
      <c r="AT77" s="82">
        <f t="shared" ref="AT77:AT78" si="19">J77+($O$1-O77)-R77+AN77-(AN77-Q77)*(SIN(S77*PI()/180))-L77</f>
        <v>136.24599999999995</v>
      </c>
      <c r="AU77" s="69"/>
      <c r="AV77" s="92"/>
      <c r="AX77" s="79"/>
    </row>
    <row r="78" spans="1:50" x14ac:dyDescent="0.6">
      <c r="A78" s="208" t="s">
        <v>275</v>
      </c>
      <c r="B78" s="84" t="s">
        <v>319</v>
      </c>
      <c r="C78" s="208" t="s">
        <v>320</v>
      </c>
      <c r="D78" s="84" t="s">
        <v>261</v>
      </c>
      <c r="E78" s="217"/>
      <c r="F78" s="228"/>
      <c r="G78" s="80" t="s">
        <v>321</v>
      </c>
      <c r="H78" s="229">
        <v>635181.36800000002</v>
      </c>
      <c r="I78" s="206">
        <v>3048825.1189999999</v>
      </c>
      <c r="J78" s="206">
        <v>133.161</v>
      </c>
      <c r="K78" s="249" t="s">
        <v>279</v>
      </c>
      <c r="L78" s="329">
        <v>1.96</v>
      </c>
      <c r="M78" s="206">
        <v>633905.23300000001</v>
      </c>
      <c r="N78" s="206">
        <v>3049240.4479999999</v>
      </c>
      <c r="O78" s="208">
        <v>56.39</v>
      </c>
      <c r="P78" s="239" t="s">
        <v>342</v>
      </c>
      <c r="Q78" s="206">
        <v>0.41</v>
      </c>
      <c r="R78" s="206">
        <v>2.37</v>
      </c>
      <c r="S78" s="220">
        <v>90</v>
      </c>
      <c r="T78" s="206"/>
      <c r="U78" s="206">
        <v>0.14000000000000001</v>
      </c>
      <c r="V78" s="206">
        <v>0.21</v>
      </c>
      <c r="W78" s="206">
        <v>0.18</v>
      </c>
      <c r="X78" s="206">
        <v>0.17</v>
      </c>
      <c r="Y78" s="206">
        <v>0.2</v>
      </c>
      <c r="Z78" s="206"/>
      <c r="AA78" s="206"/>
      <c r="AB78" s="206"/>
      <c r="AC78" s="206"/>
      <c r="AD78" s="206"/>
      <c r="AE78" s="206"/>
      <c r="AF78" s="206"/>
      <c r="AG78" s="206"/>
      <c r="AH78" s="206"/>
      <c r="AI78" s="206"/>
      <c r="AJ78" s="206"/>
      <c r="AK78" s="206"/>
      <c r="AL78" s="206"/>
      <c r="AM78" s="75">
        <f t="shared" si="15"/>
        <v>0.18000000000000002</v>
      </c>
      <c r="AN78" s="89">
        <v>3.67</v>
      </c>
      <c r="AO78" s="90"/>
      <c r="AP78" s="76"/>
      <c r="AQ78" s="74">
        <f t="shared" si="16"/>
        <v>0.41000000000000014</v>
      </c>
      <c r="AR78" s="82">
        <f t="shared" si="17"/>
        <v>635181.36800000002</v>
      </c>
      <c r="AS78" s="82">
        <f t="shared" si="18"/>
        <v>3048825.1189999999</v>
      </c>
      <c r="AT78" s="82">
        <f t="shared" si="19"/>
        <v>129.13099999999997</v>
      </c>
      <c r="AU78" s="69"/>
      <c r="AV78" s="92"/>
      <c r="AX78" s="79"/>
    </row>
    <row r="79" spans="1:50" x14ac:dyDescent="0.6">
      <c r="A79" s="207" t="s">
        <v>338</v>
      </c>
      <c r="B79" s="84" t="s">
        <v>339</v>
      </c>
      <c r="C79" s="208" t="s">
        <v>320</v>
      </c>
      <c r="D79" s="84" t="s">
        <v>261</v>
      </c>
      <c r="E79" s="217"/>
      <c r="F79" s="228"/>
      <c r="G79" s="80" t="s">
        <v>340</v>
      </c>
      <c r="H79" s="229">
        <v>635820.31099999999</v>
      </c>
      <c r="I79" s="206">
        <v>3049328.4670000002</v>
      </c>
      <c r="J79" s="206">
        <v>172.386</v>
      </c>
      <c r="K79" s="249" t="s">
        <v>279</v>
      </c>
      <c r="L79" s="19">
        <v>1E-3</v>
      </c>
      <c r="M79" s="206">
        <v>633905.23300000001</v>
      </c>
      <c r="N79" s="206">
        <v>3049240.4479999999</v>
      </c>
      <c r="O79" s="208">
        <v>56.39</v>
      </c>
      <c r="P79" s="239" t="s">
        <v>343</v>
      </c>
      <c r="Q79" s="206">
        <v>1.71</v>
      </c>
      <c r="R79" s="206">
        <v>1.7109999999999999</v>
      </c>
      <c r="S79" s="220">
        <v>90</v>
      </c>
      <c r="T79" s="206"/>
      <c r="U79" s="206">
        <v>2.4</v>
      </c>
      <c r="V79" s="206">
        <v>2.4</v>
      </c>
      <c r="W79" s="206">
        <v>2.4</v>
      </c>
      <c r="X79" s="206">
        <v>2.4</v>
      </c>
      <c r="Y79" s="206">
        <v>2.4</v>
      </c>
      <c r="Z79" s="206"/>
      <c r="AA79" s="206"/>
      <c r="AB79" s="206"/>
      <c r="AC79" s="206"/>
      <c r="AD79" s="206"/>
      <c r="AE79" s="206"/>
      <c r="AF79" s="206"/>
      <c r="AG79" s="206"/>
      <c r="AH79" s="206"/>
      <c r="AI79" s="206"/>
      <c r="AJ79" s="206"/>
      <c r="AK79" s="206"/>
      <c r="AL79" s="206"/>
      <c r="AM79" s="75">
        <f t="shared" ref="AM79" si="20">AVERAGE(U79:AC79)</f>
        <v>2.4</v>
      </c>
      <c r="AN79" s="89">
        <v>3.67</v>
      </c>
      <c r="AO79" s="90" t="s">
        <v>353</v>
      </c>
      <c r="AP79" s="76"/>
      <c r="AQ79" s="74">
        <f t="shared" ref="AQ79" si="21">AN79-(AN79-Q79)*(SIN((S79+AX79)*PI()/180))/(COS(AX79*PI()/180))</f>
        <v>1.71</v>
      </c>
      <c r="AR79" s="82">
        <f t="shared" ref="AR79" si="22">H79+($M$1-M79)-(AN79-Q79)*(COS(S79*PI()/180))*(SIN((T79+13+2.3)*PI()/180))</f>
        <v>635820.31099999999</v>
      </c>
      <c r="AS79" s="82">
        <f t="shared" ref="AS79" si="23">I79+($N$1-N79)-(AN79-Q79)*(COS(S79*PI()/180))*(COS((T79+13+2.3)*PI()/180))</f>
        <v>3049328.4670000002</v>
      </c>
      <c r="AT79" s="82">
        <f t="shared" ref="AT79" si="24">J79+($O$1-O79)-R79+AN79-(AN79-Q79)*(SIN(S79*PI()/180))-L79</f>
        <v>172.27399999999997</v>
      </c>
      <c r="AU79" s="69"/>
      <c r="AV79" s="92"/>
      <c r="AX79" s="79"/>
    </row>
  </sheetData>
  <sheetProtection selectLockedCells="1" selectUnlockedCells="1"/>
  <phoneticPr fontId="24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X78"/>
  <sheetViews>
    <sheetView zoomScale="98" zoomScaleNormal="98" workbookViewId="0">
      <pane xSplit="1" ySplit="3" topLeftCell="B67" activePane="bottomRight" state="frozen"/>
      <selection pane="topRight" activeCell="B1" sqref="B1"/>
      <selection pane="bottomLeft" activeCell="A4" sqref="A4"/>
      <selection pane="bottomRight" activeCell="A79" sqref="A79:XFD79"/>
    </sheetView>
  </sheetViews>
  <sheetFormatPr baseColWidth="10" defaultColWidth="11.2265625" defaultRowHeight="13" x14ac:dyDescent="0.6"/>
  <cols>
    <col min="1" max="4" width="9.453125" style="14" customWidth="1"/>
    <col min="5" max="5" width="9.453125" style="15" customWidth="1"/>
    <col min="6" max="6" width="9.2265625" style="16" customWidth="1"/>
    <col min="7" max="7" width="15.54296875" style="17" customWidth="1"/>
    <col min="8" max="8" width="12" style="17" customWidth="1"/>
    <col min="9" max="9" width="15.2265625" style="17" customWidth="1"/>
    <col min="10" max="10" width="12" style="17" customWidth="1"/>
    <col min="11" max="11" width="7.2265625" style="14" customWidth="1"/>
    <col min="12" max="12" width="8.76953125" style="14" customWidth="1"/>
    <col min="13" max="13" width="12" style="14" customWidth="1"/>
    <col min="14" max="14" width="16.76953125" style="14" customWidth="1"/>
    <col min="15" max="15" width="12" style="14" customWidth="1"/>
    <col min="16" max="16" width="30.54296875" style="18" customWidth="1"/>
    <col min="17" max="20" width="6.54296875" style="19" customWidth="1"/>
    <col min="21" max="21" width="5.76953125" style="19" customWidth="1"/>
    <col min="22" max="38" width="4.54296875" style="19" customWidth="1"/>
    <col min="39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6.54296875" style="14" customWidth="1"/>
    <col min="50" max="50" width="6.54296875" style="19" customWidth="1"/>
    <col min="51" max="16384" width="11.2265625" style="18"/>
  </cols>
  <sheetData>
    <row r="1" spans="1:50" s="34" customFormat="1" ht="16" x14ac:dyDescent="0.9">
      <c r="A1" s="20" t="s">
        <v>42</v>
      </c>
      <c r="B1" s="174" t="s">
        <v>269</v>
      </c>
      <c r="C1" s="21" t="s">
        <v>43</v>
      </c>
      <c r="D1" s="22" t="s">
        <v>267</v>
      </c>
      <c r="E1" s="23" t="s">
        <v>44</v>
      </c>
      <c r="F1" s="24" t="s">
        <v>268</v>
      </c>
      <c r="G1" s="25" t="s">
        <v>46</v>
      </c>
      <c r="H1" s="123" t="s">
        <v>47</v>
      </c>
      <c r="I1" s="27"/>
      <c r="J1" s="26"/>
      <c r="K1" s="28"/>
      <c r="L1" s="29" t="s">
        <v>48</v>
      </c>
      <c r="M1" s="30">
        <v>633905.21799999999</v>
      </c>
      <c r="N1" s="30">
        <v>3049240.4240000001</v>
      </c>
      <c r="O1" s="30">
        <f>56.475-0.11</f>
        <v>56.365000000000002</v>
      </c>
      <c r="P1" s="308" t="s">
        <v>341</v>
      </c>
      <c r="Q1" s="125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V1" s="35"/>
      <c r="AW1" s="14"/>
      <c r="AX1" s="33"/>
    </row>
    <row r="2" spans="1:50" ht="16" x14ac:dyDescent="0.9">
      <c r="A2" s="36" t="s">
        <v>49</v>
      </c>
      <c r="B2" s="37" t="s">
        <v>50</v>
      </c>
      <c r="C2" s="38" t="s">
        <v>51</v>
      </c>
      <c r="D2" s="37" t="s">
        <v>52</v>
      </c>
      <c r="E2" s="39" t="s">
        <v>53</v>
      </c>
      <c r="F2" s="40" t="s">
        <v>54</v>
      </c>
      <c r="G2" s="233" t="s">
        <v>55</v>
      </c>
      <c r="H2" s="42" t="s">
        <v>1</v>
      </c>
      <c r="I2" s="43" t="s">
        <v>3</v>
      </c>
      <c r="J2" s="253" t="s">
        <v>5</v>
      </c>
      <c r="K2" s="43" t="s">
        <v>56</v>
      </c>
      <c r="L2" s="241" t="s">
        <v>57</v>
      </c>
      <c r="M2" s="45" t="s">
        <v>11</v>
      </c>
      <c r="N2" s="45" t="s">
        <v>58</v>
      </c>
      <c r="O2" s="45" t="s">
        <v>15</v>
      </c>
      <c r="P2" s="259" t="s">
        <v>59</v>
      </c>
      <c r="Q2" s="48" t="s">
        <v>60</v>
      </c>
      <c r="R2" s="48" t="s">
        <v>61</v>
      </c>
      <c r="S2" s="49" t="s">
        <v>22</v>
      </c>
      <c r="T2" s="50" t="s">
        <v>24</v>
      </c>
      <c r="U2" s="51"/>
      <c r="V2" s="52"/>
      <c r="W2" s="52"/>
      <c r="X2" s="52"/>
      <c r="Y2" s="52" t="s">
        <v>62</v>
      </c>
      <c r="Z2" s="52"/>
      <c r="AA2" s="52"/>
      <c r="AB2" s="52"/>
      <c r="AC2" s="53"/>
      <c r="AD2" s="52"/>
      <c r="AE2" s="52"/>
      <c r="AF2" s="52"/>
      <c r="AG2" s="52"/>
      <c r="AH2" s="52" t="s">
        <v>63</v>
      </c>
      <c r="AI2" s="52"/>
      <c r="AJ2" s="52"/>
      <c r="AK2" s="52"/>
      <c r="AL2" s="54"/>
      <c r="AM2" s="55" t="s">
        <v>64</v>
      </c>
      <c r="AN2" s="56" t="s">
        <v>65</v>
      </c>
      <c r="AO2" s="57" t="s">
        <v>66</v>
      </c>
      <c r="AP2" s="46" t="s">
        <v>67</v>
      </c>
      <c r="AQ2" s="58" t="s">
        <v>68</v>
      </c>
      <c r="AR2" s="59" t="s">
        <v>69</v>
      </c>
      <c r="AS2" s="60" t="s">
        <v>70</v>
      </c>
      <c r="AT2" s="60" t="s">
        <v>71</v>
      </c>
      <c r="AU2" s="51" t="s">
        <v>72</v>
      </c>
      <c r="AV2" s="46" t="s">
        <v>73</v>
      </c>
      <c r="AW2" s="126" t="s">
        <v>40</v>
      </c>
      <c r="AX2" s="50" t="s">
        <v>26</v>
      </c>
    </row>
    <row r="3" spans="1:50" ht="13.75" thickBot="1" x14ac:dyDescent="0.75">
      <c r="B3" s="61" t="s">
        <v>74</v>
      </c>
      <c r="C3" s="62" t="s">
        <v>75</v>
      </c>
      <c r="D3" s="63" t="s">
        <v>168</v>
      </c>
      <c r="E3" s="61" t="s">
        <v>74</v>
      </c>
      <c r="F3" s="62" t="s">
        <v>75</v>
      </c>
      <c r="G3" s="234"/>
      <c r="H3" s="24" t="s">
        <v>45</v>
      </c>
      <c r="I3" s="67" t="s">
        <v>79</v>
      </c>
      <c r="J3" s="17" t="s">
        <v>80</v>
      </c>
      <c r="K3" s="69"/>
      <c r="M3" s="71" t="s">
        <v>81</v>
      </c>
      <c r="N3" s="67" t="s">
        <v>82</v>
      </c>
      <c r="O3" s="17" t="s">
        <v>83</v>
      </c>
      <c r="P3" s="260"/>
      <c r="Q3" s="74" t="s">
        <v>84</v>
      </c>
      <c r="R3" s="74" t="s">
        <v>84</v>
      </c>
      <c r="S3" s="75" t="s">
        <v>85</v>
      </c>
      <c r="T3" s="75"/>
      <c r="U3" s="75"/>
      <c r="V3" s="75"/>
      <c r="W3" s="75"/>
      <c r="X3" s="75"/>
      <c r="Y3" s="75"/>
      <c r="Z3" s="75"/>
      <c r="AA3" s="75"/>
      <c r="AB3" s="75"/>
      <c r="AC3" s="76"/>
      <c r="AD3" s="74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84</v>
      </c>
      <c r="AR3" s="77" t="s">
        <v>78</v>
      </c>
      <c r="AS3" s="67" t="s">
        <v>79</v>
      </c>
      <c r="AT3" s="68" t="s">
        <v>80</v>
      </c>
      <c r="AV3" s="78"/>
      <c r="AX3" s="75"/>
    </row>
    <row r="4" spans="1:50" x14ac:dyDescent="0.6">
      <c r="A4" s="69"/>
      <c r="B4" s="69"/>
      <c r="C4" s="69"/>
      <c r="D4" s="69"/>
      <c r="E4" s="61"/>
      <c r="G4" s="235"/>
      <c r="H4" s="68"/>
      <c r="I4" s="81"/>
      <c r="K4" s="69"/>
      <c r="L4" s="19"/>
      <c r="M4" s="166"/>
      <c r="N4" s="166"/>
      <c r="O4" s="70"/>
      <c r="P4" s="260"/>
      <c r="Q4" s="74"/>
      <c r="R4" s="74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4"/>
      <c r="AR4" s="83"/>
      <c r="AS4" s="81"/>
      <c r="AT4" s="81"/>
      <c r="AV4" s="78"/>
      <c r="AX4" s="75"/>
    </row>
    <row r="5" spans="1:50" x14ac:dyDescent="0.6">
      <c r="A5" s="138" t="s">
        <v>169</v>
      </c>
      <c r="B5" s="139"/>
      <c r="C5" s="139"/>
      <c r="D5" s="139"/>
      <c r="E5" s="140"/>
      <c r="F5" s="141"/>
      <c r="G5" s="251"/>
      <c r="H5" s="143"/>
      <c r="I5" s="144"/>
      <c r="J5" s="145"/>
      <c r="K5" s="139"/>
      <c r="L5" s="242"/>
      <c r="M5" s="146"/>
      <c r="N5" s="167"/>
      <c r="O5" s="146"/>
      <c r="P5" s="261"/>
      <c r="Q5" s="143"/>
      <c r="R5" s="143"/>
      <c r="S5" s="149"/>
      <c r="T5" s="149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50"/>
      <c r="AO5" s="151"/>
      <c r="AP5" s="152"/>
      <c r="AQ5" s="143"/>
      <c r="AR5" s="145"/>
      <c r="AS5" s="145"/>
      <c r="AT5" s="145"/>
      <c r="AU5" s="139"/>
      <c r="AV5" s="153"/>
      <c r="AW5" s="168"/>
      <c r="AX5" s="149"/>
    </row>
    <row r="6" spans="1:50" x14ac:dyDescent="0.6">
      <c r="A6" s="154" t="s">
        <v>170</v>
      </c>
      <c r="B6" s="105"/>
      <c r="C6" s="105"/>
      <c r="D6" s="105"/>
      <c r="E6" s="155"/>
      <c r="F6" s="250"/>
      <c r="G6" s="238"/>
      <c r="H6" s="109"/>
      <c r="I6" s="110"/>
      <c r="J6" s="111"/>
      <c r="K6" s="105"/>
      <c r="L6" s="243"/>
      <c r="M6" s="134"/>
      <c r="N6" s="134"/>
      <c r="O6" s="134"/>
      <c r="P6" s="262"/>
      <c r="Q6" s="109"/>
      <c r="R6" s="109"/>
      <c r="S6" s="115"/>
      <c r="T6" s="115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6"/>
      <c r="AO6" s="156"/>
      <c r="AP6" s="118"/>
      <c r="AQ6" s="109"/>
      <c r="AR6" s="111"/>
      <c r="AS6" s="111"/>
      <c r="AT6" s="111"/>
      <c r="AU6" s="105"/>
      <c r="AV6" s="119"/>
      <c r="AW6" s="136"/>
      <c r="AX6" s="115"/>
    </row>
    <row r="7" spans="1:50" x14ac:dyDescent="0.6">
      <c r="A7" s="69" t="s">
        <v>171</v>
      </c>
      <c r="B7" s="85"/>
      <c r="C7" s="16"/>
      <c r="D7" s="84" t="s">
        <v>237</v>
      </c>
      <c r="E7" s="84"/>
      <c r="F7" s="201"/>
      <c r="G7" s="236"/>
      <c r="H7" s="74"/>
      <c r="I7" s="75"/>
      <c r="J7" s="82"/>
      <c r="K7" s="84"/>
      <c r="L7" s="19"/>
      <c r="M7" s="83"/>
      <c r="N7" s="81"/>
      <c r="O7" s="70"/>
      <c r="P7" s="263"/>
      <c r="Q7" s="74"/>
      <c r="R7" s="74"/>
      <c r="S7" s="88">
        <v>90</v>
      </c>
      <c r="T7" s="79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 t="e">
        <f>AVERAGE(U7:AC7)</f>
        <v>#DIV/0!</v>
      </c>
      <c r="AN7" s="89">
        <v>3.67</v>
      </c>
      <c r="AO7" s="127"/>
      <c r="AP7" s="76"/>
      <c r="AQ7" s="74">
        <f>AN7-(AN7-Q7)*(SIN((S7+AX7)*PI()/180))/(COS(AX7*PI()/180))</f>
        <v>0</v>
      </c>
      <c r="AR7" s="91">
        <f>H7+($M$1-M7)-(AN7-Q7)*(COS(S7*PI()/180))*(SIN((T7+13+2.3)*PI()/180))</f>
        <v>633905.21799999999</v>
      </c>
      <c r="AS7" s="82">
        <f>I7+($N$1-N7)-(AN7-Q7)*(COS(S7*PI()/180))*(COS((T7+13+2.3)*PI()/180))</f>
        <v>3049240.4240000001</v>
      </c>
      <c r="AT7" s="82">
        <f>J7+($O$1-O7)-R7+AN7-(AN7-Q7)*(SIN(S7*PI()/180))-L7</f>
        <v>56.365000000000002</v>
      </c>
      <c r="AU7" s="70"/>
      <c r="AV7" s="92"/>
      <c r="AW7" s="128">
        <f>AQ7-'Estacas Johnsons'!AQ7</f>
        <v>4.9999999999999822E-2</v>
      </c>
      <c r="AX7" s="79"/>
    </row>
    <row r="8" spans="1:50" x14ac:dyDescent="0.6">
      <c r="A8" s="154" t="s">
        <v>172</v>
      </c>
      <c r="B8" s="105"/>
      <c r="C8" s="105"/>
      <c r="D8" s="105"/>
      <c r="E8" s="106"/>
      <c r="F8" s="107"/>
      <c r="G8" s="238"/>
      <c r="H8" s="109"/>
      <c r="I8" s="110"/>
      <c r="J8" s="111"/>
      <c r="K8" s="105"/>
      <c r="L8" s="243"/>
      <c r="M8" s="134"/>
      <c r="N8" s="134"/>
      <c r="O8" s="134"/>
      <c r="P8" s="262"/>
      <c r="Q8" s="109"/>
      <c r="R8" s="109"/>
      <c r="S8" s="115"/>
      <c r="T8" s="115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22"/>
      <c r="AO8" s="156"/>
      <c r="AP8" s="118"/>
      <c r="AQ8" s="109"/>
      <c r="AR8" s="111"/>
      <c r="AS8" s="111"/>
      <c r="AT8" s="111"/>
      <c r="AU8" s="105"/>
      <c r="AV8" s="119"/>
      <c r="AW8" s="136"/>
      <c r="AX8" s="115"/>
    </row>
    <row r="9" spans="1:50" x14ac:dyDescent="0.6">
      <c r="A9" s="157" t="s">
        <v>173</v>
      </c>
      <c r="B9" s="69"/>
      <c r="C9" s="84"/>
      <c r="D9" s="84" t="s">
        <v>237</v>
      </c>
      <c r="E9" s="85"/>
      <c r="G9" s="236"/>
      <c r="H9" s="74"/>
      <c r="I9" s="75"/>
      <c r="J9" s="82"/>
      <c r="K9" s="69"/>
      <c r="L9" s="19"/>
      <c r="M9" s="83"/>
      <c r="N9" s="83"/>
      <c r="O9" s="83"/>
      <c r="P9" s="264"/>
      <c r="Q9" s="74"/>
      <c r="R9" s="74"/>
      <c r="S9" s="88">
        <v>90</v>
      </c>
      <c r="T9" s="79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 t="e">
        <f>AVERAGE(U9:AC9)</f>
        <v>#DIV/0!</v>
      </c>
      <c r="AN9" s="89">
        <v>3.67</v>
      </c>
      <c r="AO9" s="159"/>
      <c r="AP9" s="76"/>
      <c r="AQ9" s="74">
        <f>AN9-(AN9-Q9)*(SIN((S9+AX9)*PI()/180))/(COS(AX9*PI()/180))</f>
        <v>0</v>
      </c>
      <c r="AR9" s="82">
        <f>H9+($M$1-M9)-(AN9-Q9)*(COS(S9*PI()/180))*(SIN((T9+13+2.3)*PI()/180))</f>
        <v>633905.21799999999</v>
      </c>
      <c r="AS9" s="82">
        <f>I9+($N$1-N9)-(AN9-Q9)*(COS(S9*PI()/180))*(COS((T9+13+2.3)*PI()/180))</f>
        <v>3049240.4240000001</v>
      </c>
      <c r="AT9" s="82">
        <f>J9+($O$1-O9)-R9+AN9-(AN9-Q9)*(SIN(S9*PI()/180))-L9</f>
        <v>56.365000000000002</v>
      </c>
      <c r="AU9" s="69"/>
      <c r="AV9" s="92"/>
      <c r="AW9" s="128">
        <f>AQ9-'Estacas Johnsons'!AQ9</f>
        <v>0.25</v>
      </c>
      <c r="AX9" s="79"/>
    </row>
    <row r="10" spans="1:50" x14ac:dyDescent="0.6">
      <c r="A10" s="154" t="s">
        <v>174</v>
      </c>
      <c r="B10" s="105"/>
      <c r="C10" s="105"/>
      <c r="D10" s="105"/>
      <c r="E10" s="106"/>
      <c r="F10" s="107"/>
      <c r="G10" s="238"/>
      <c r="H10" s="109"/>
      <c r="I10" s="110"/>
      <c r="J10" s="111"/>
      <c r="K10" s="105"/>
      <c r="L10" s="243"/>
      <c r="M10" s="134"/>
      <c r="N10" s="134"/>
      <c r="O10" s="134"/>
      <c r="P10" s="262"/>
      <c r="Q10" s="109"/>
      <c r="R10" s="109"/>
      <c r="S10" s="115"/>
      <c r="T10" s="115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22"/>
      <c r="AO10" s="156"/>
      <c r="AP10" s="118"/>
      <c r="AQ10" s="109"/>
      <c r="AR10" s="111"/>
      <c r="AS10" s="111"/>
      <c r="AT10" s="111"/>
      <c r="AU10" s="105"/>
      <c r="AV10" s="119"/>
      <c r="AW10" s="136"/>
      <c r="AX10" s="115"/>
    </row>
    <row r="11" spans="1:50" x14ac:dyDescent="0.6">
      <c r="A11" s="157" t="s">
        <v>175</v>
      </c>
      <c r="B11" s="84"/>
      <c r="C11" s="84"/>
      <c r="D11" s="84" t="s">
        <v>237</v>
      </c>
      <c r="E11" s="85"/>
      <c r="G11" s="235"/>
      <c r="H11" s="74"/>
      <c r="I11" s="75"/>
      <c r="J11" s="82"/>
      <c r="K11" s="69"/>
      <c r="L11" s="19"/>
      <c r="M11" s="83"/>
      <c r="N11" s="83"/>
      <c r="O11" s="83"/>
      <c r="P11" s="264"/>
      <c r="Q11" s="74"/>
      <c r="R11" s="74"/>
      <c r="S11" s="88">
        <v>90</v>
      </c>
      <c r="T11" s="79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 t="e">
        <f>AVERAGE(U11:AC11)</f>
        <v>#DIV/0!</v>
      </c>
      <c r="AN11" s="89">
        <v>3.67</v>
      </c>
      <c r="AO11" s="127"/>
      <c r="AP11" s="76"/>
      <c r="AQ11" s="74">
        <f>AN11-(AN11-Q11)*(SIN((S11+AX11)*PI()/180))/(COS(AX11*PI()/180))</f>
        <v>0</v>
      </c>
      <c r="AR11" s="82">
        <f>H11+($M$1-M11)-(AN11-Q11)*(COS(S11*PI()/180))*(SIN((T11+13+2.3)*PI()/180))</f>
        <v>633905.21799999999</v>
      </c>
      <c r="AS11" s="82">
        <f>I11+($N$1-N11)-(AN11-Q11)*(COS(S11*PI()/180))*(COS((T11+13+2.3)*PI()/180))</f>
        <v>3049240.4240000001</v>
      </c>
      <c r="AT11" s="82">
        <f>J11+($O$1-O11)-R11+AN11-(AN11-Q11)*(SIN(S11*PI()/180))-L11</f>
        <v>56.365000000000002</v>
      </c>
      <c r="AU11" s="69"/>
      <c r="AV11" s="92"/>
      <c r="AW11" s="128">
        <f>AQ11-'Estacas Johnsons'!AQ11</f>
        <v>4.0000000000000036E-2</v>
      </c>
      <c r="AX11" s="79"/>
    </row>
    <row r="12" spans="1:50" x14ac:dyDescent="0.6">
      <c r="A12" s="154" t="s">
        <v>176</v>
      </c>
      <c r="B12" s="105"/>
      <c r="C12" s="105"/>
      <c r="D12" s="105"/>
      <c r="E12" s="106"/>
      <c r="F12" s="107"/>
      <c r="G12" s="238"/>
      <c r="H12" s="109"/>
      <c r="I12" s="110"/>
      <c r="J12" s="111"/>
      <c r="K12" s="105"/>
      <c r="L12" s="243"/>
      <c r="M12" s="134"/>
      <c r="N12" s="134"/>
      <c r="O12" s="134"/>
      <c r="P12" s="262"/>
      <c r="Q12" s="109"/>
      <c r="R12" s="109"/>
      <c r="S12" s="115"/>
      <c r="T12" s="115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6"/>
      <c r="AO12" s="156"/>
      <c r="AP12" s="118"/>
      <c r="AQ12" s="109"/>
      <c r="AR12" s="111"/>
      <c r="AS12" s="111"/>
      <c r="AT12" s="111"/>
      <c r="AU12" s="105"/>
      <c r="AV12" s="119"/>
      <c r="AW12" s="136"/>
      <c r="AX12" s="115"/>
    </row>
    <row r="13" spans="1:50" x14ac:dyDescent="0.6">
      <c r="A13" s="154" t="s">
        <v>177</v>
      </c>
      <c r="B13" s="105"/>
      <c r="C13" s="105"/>
      <c r="D13" s="105"/>
      <c r="E13" s="106"/>
      <c r="F13" s="107"/>
      <c r="G13" s="238"/>
      <c r="H13" s="109"/>
      <c r="I13" s="110"/>
      <c r="J13" s="111"/>
      <c r="K13" s="105"/>
      <c r="L13" s="243"/>
      <c r="M13" s="134"/>
      <c r="N13" s="134"/>
      <c r="O13" s="134"/>
      <c r="P13" s="262"/>
      <c r="Q13" s="109"/>
      <c r="R13" s="109"/>
      <c r="S13" s="115"/>
      <c r="T13" s="115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6"/>
      <c r="AO13" s="156"/>
      <c r="AP13" s="118"/>
      <c r="AQ13" s="109"/>
      <c r="AR13" s="111"/>
      <c r="AS13" s="111"/>
      <c r="AT13" s="111"/>
      <c r="AU13" s="105"/>
      <c r="AV13" s="119"/>
      <c r="AW13" s="136"/>
      <c r="AX13" s="115"/>
    </row>
    <row r="14" spans="1:50" x14ac:dyDescent="0.6">
      <c r="A14" s="154" t="s">
        <v>178</v>
      </c>
      <c r="B14" s="105"/>
      <c r="C14" s="105"/>
      <c r="D14" s="105"/>
      <c r="E14" s="106"/>
      <c r="F14" s="107"/>
      <c r="G14" s="238"/>
      <c r="H14" s="109"/>
      <c r="I14" s="110"/>
      <c r="J14" s="111"/>
      <c r="K14" s="105"/>
      <c r="L14" s="243"/>
      <c r="M14" s="134"/>
      <c r="N14" s="134"/>
      <c r="O14" s="134"/>
      <c r="P14" s="262"/>
      <c r="Q14" s="109"/>
      <c r="R14" s="109"/>
      <c r="S14" s="115"/>
      <c r="T14" s="115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6"/>
      <c r="AO14" s="156"/>
      <c r="AP14" s="118"/>
      <c r="AQ14" s="109"/>
      <c r="AR14" s="111"/>
      <c r="AS14" s="111"/>
      <c r="AT14" s="111"/>
      <c r="AU14" s="105"/>
      <c r="AV14" s="119"/>
      <c r="AW14" s="136"/>
      <c r="AX14" s="115"/>
    </row>
    <row r="15" spans="1:50" x14ac:dyDescent="0.6">
      <c r="A15" s="154" t="s">
        <v>179</v>
      </c>
      <c r="B15" s="105"/>
      <c r="C15" s="105"/>
      <c r="D15" s="105"/>
      <c r="E15" s="106"/>
      <c r="F15" s="107"/>
      <c r="G15" s="238"/>
      <c r="H15" s="109"/>
      <c r="I15" s="110"/>
      <c r="J15" s="111"/>
      <c r="K15" s="105"/>
      <c r="L15" s="243"/>
      <c r="M15" s="134"/>
      <c r="N15" s="134"/>
      <c r="O15" s="134"/>
      <c r="P15" s="262"/>
      <c r="Q15" s="109"/>
      <c r="R15" s="109"/>
      <c r="S15" s="115"/>
      <c r="T15" s="115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6"/>
      <c r="AO15" s="156"/>
      <c r="AP15" s="118"/>
      <c r="AQ15" s="109"/>
      <c r="AR15" s="111"/>
      <c r="AS15" s="111"/>
      <c r="AT15" s="111"/>
      <c r="AU15" s="105"/>
      <c r="AV15" s="119"/>
      <c r="AW15" s="136"/>
      <c r="AX15" s="115"/>
    </row>
    <row r="16" spans="1:50" x14ac:dyDescent="0.6">
      <c r="A16" s="154" t="s">
        <v>180</v>
      </c>
      <c r="B16" s="105"/>
      <c r="C16" s="105"/>
      <c r="D16" s="105"/>
      <c r="E16" s="106"/>
      <c r="F16" s="107"/>
      <c r="G16" s="238"/>
      <c r="H16" s="109"/>
      <c r="I16" s="110"/>
      <c r="J16" s="111"/>
      <c r="K16" s="105"/>
      <c r="L16" s="243"/>
      <c r="M16" s="134"/>
      <c r="N16" s="134"/>
      <c r="O16" s="134"/>
      <c r="P16" s="262"/>
      <c r="Q16" s="109"/>
      <c r="R16" s="109"/>
      <c r="S16" s="115"/>
      <c r="T16" s="115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6"/>
      <c r="AO16" s="156"/>
      <c r="AP16" s="118"/>
      <c r="AQ16" s="109"/>
      <c r="AR16" s="111"/>
      <c r="AS16" s="111"/>
      <c r="AT16" s="111"/>
      <c r="AU16" s="105"/>
      <c r="AV16" s="119"/>
      <c r="AW16" s="136"/>
      <c r="AX16" s="115"/>
    </row>
    <row r="17" spans="1:50" x14ac:dyDescent="0.6">
      <c r="A17" s="157" t="s">
        <v>181</v>
      </c>
      <c r="B17" s="84"/>
      <c r="C17" s="69"/>
      <c r="D17" s="84" t="s">
        <v>237</v>
      </c>
      <c r="E17" s="85"/>
      <c r="G17" s="235"/>
      <c r="H17" s="74"/>
      <c r="I17" s="75"/>
      <c r="J17" s="82"/>
      <c r="K17" s="69"/>
      <c r="L17" s="19"/>
      <c r="M17" s="83"/>
      <c r="N17" s="83"/>
      <c r="O17" s="83"/>
      <c r="P17" s="264"/>
      <c r="Q17" s="74"/>
      <c r="R17" s="74"/>
      <c r="S17" s="88">
        <v>90</v>
      </c>
      <c r="T17" s="79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 t="e">
        <f>AVERAGE(U17:AC17)</f>
        <v>#DIV/0!</v>
      </c>
      <c r="AN17" s="89">
        <v>3.67</v>
      </c>
      <c r="AO17" s="159"/>
      <c r="AP17" s="76"/>
      <c r="AQ17" s="74"/>
      <c r="AR17" s="82"/>
      <c r="AS17" s="82"/>
      <c r="AT17" s="82"/>
      <c r="AU17" s="69"/>
      <c r="AV17" s="92"/>
      <c r="AW17" s="128"/>
      <c r="AX17" s="79"/>
    </row>
    <row r="18" spans="1:50" x14ac:dyDescent="0.6">
      <c r="A18" s="157" t="s">
        <v>182</v>
      </c>
      <c r="B18" s="84"/>
      <c r="C18" s="84"/>
      <c r="D18" s="84" t="s">
        <v>237</v>
      </c>
      <c r="E18" s="61"/>
      <c r="F18" s="62"/>
      <c r="G18" s="236"/>
      <c r="H18" s="74"/>
      <c r="I18" s="75"/>
      <c r="J18" s="82"/>
      <c r="K18" s="69"/>
      <c r="L18" s="19"/>
      <c r="M18" s="83"/>
      <c r="N18" s="83"/>
      <c r="O18" s="83"/>
      <c r="P18" s="264"/>
      <c r="Q18" s="74"/>
      <c r="R18" s="74"/>
      <c r="S18" s="88">
        <v>90</v>
      </c>
      <c r="T18" s="79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 t="e">
        <f>AVERAGE(U18:AC18)</f>
        <v>#DIV/0!</v>
      </c>
      <c r="AN18" s="89">
        <v>3.67</v>
      </c>
      <c r="AO18" s="127"/>
      <c r="AP18" s="76"/>
      <c r="AQ18" s="74">
        <f>AN18-(AN18-Q18)*(SIN((S18+AX18)*PI()/180))/(COS(AX18*PI()/180))</f>
        <v>0</v>
      </c>
      <c r="AR18" s="82">
        <f>H18+($M$1-M18)-(AN18-Q18)*(COS(S18*PI()/180))*(SIN((T18+13+2.3)*PI()/180))</f>
        <v>633905.21799999999</v>
      </c>
      <c r="AS18" s="82">
        <f>I18+($N$1-N18)-(AN18-Q18)*(COS(S18*PI()/180))*(COS((T18+13+2.3)*PI()/180))</f>
        <v>3049240.4240000001</v>
      </c>
      <c r="AT18" s="82">
        <f>J18+($O$1-O18)-R18+AN18-(AN18-Q18)*(SIN(S18*PI()/180))-L18</f>
        <v>56.365000000000002</v>
      </c>
      <c r="AU18" s="69"/>
      <c r="AV18" s="92"/>
      <c r="AW18" s="128">
        <f>AQ18-'Estacas Johnsons'!AQ18</f>
        <v>0.31999999999999984</v>
      </c>
      <c r="AX18" s="79"/>
    </row>
    <row r="19" spans="1:50" x14ac:dyDescent="0.6">
      <c r="A19" s="154" t="s">
        <v>183</v>
      </c>
      <c r="B19" s="105"/>
      <c r="C19" s="105"/>
      <c r="D19" s="105"/>
      <c r="E19" s="106"/>
      <c r="F19" s="107"/>
      <c r="G19" s="238"/>
      <c r="H19" s="109"/>
      <c r="I19" s="110"/>
      <c r="J19" s="111"/>
      <c r="K19" s="105"/>
      <c r="L19" s="243"/>
      <c r="M19" s="134"/>
      <c r="N19" s="134"/>
      <c r="O19" s="134"/>
      <c r="P19" s="262"/>
      <c r="Q19" s="109"/>
      <c r="R19" s="109"/>
      <c r="S19" s="115"/>
      <c r="T19" s="115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6"/>
      <c r="AO19" s="156"/>
      <c r="AP19" s="118"/>
      <c r="AQ19" s="109"/>
      <c r="AR19" s="111"/>
      <c r="AS19" s="111"/>
      <c r="AT19" s="111"/>
      <c r="AU19" s="105"/>
      <c r="AV19" s="119"/>
      <c r="AW19" s="136"/>
      <c r="AX19" s="115"/>
    </row>
    <row r="20" spans="1:50" x14ac:dyDescent="0.6">
      <c r="A20" s="154" t="s">
        <v>184</v>
      </c>
      <c r="B20" s="105"/>
      <c r="C20" s="105"/>
      <c r="D20" s="105"/>
      <c r="E20" s="106"/>
      <c r="F20" s="107"/>
      <c r="G20" s="238"/>
      <c r="H20" s="109"/>
      <c r="I20" s="110"/>
      <c r="J20" s="111"/>
      <c r="K20" s="105"/>
      <c r="L20" s="243"/>
      <c r="M20" s="134"/>
      <c r="N20" s="134"/>
      <c r="O20" s="134"/>
      <c r="P20" s="262"/>
      <c r="Q20" s="109"/>
      <c r="R20" s="109"/>
      <c r="S20" s="115"/>
      <c r="T20" s="115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6"/>
      <c r="AO20" s="156"/>
      <c r="AP20" s="118"/>
      <c r="AQ20" s="109"/>
      <c r="AR20" s="111"/>
      <c r="AS20" s="111"/>
      <c r="AT20" s="111"/>
      <c r="AU20" s="105"/>
      <c r="AV20" s="119"/>
      <c r="AW20" s="136"/>
      <c r="AX20" s="115"/>
    </row>
    <row r="21" spans="1:50" x14ac:dyDescent="0.6">
      <c r="A21" s="154" t="s">
        <v>185</v>
      </c>
      <c r="B21" s="105"/>
      <c r="C21" s="105"/>
      <c r="D21" s="105"/>
      <c r="E21" s="106"/>
      <c r="F21" s="107"/>
      <c r="G21" s="238"/>
      <c r="H21" s="109"/>
      <c r="I21" s="110"/>
      <c r="J21" s="111"/>
      <c r="K21" s="105"/>
      <c r="L21" s="243"/>
      <c r="M21" s="134"/>
      <c r="N21" s="134"/>
      <c r="O21" s="134"/>
      <c r="P21" s="262"/>
      <c r="Q21" s="109"/>
      <c r="R21" s="109"/>
      <c r="S21" s="115"/>
      <c r="T21" s="115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6"/>
      <c r="AO21" s="156"/>
      <c r="AP21" s="118"/>
      <c r="AQ21" s="109"/>
      <c r="AR21" s="111"/>
      <c r="AS21" s="111"/>
      <c r="AT21" s="111"/>
      <c r="AU21" s="105"/>
      <c r="AV21" s="119"/>
      <c r="AW21" s="136"/>
      <c r="AX21" s="115"/>
    </row>
    <row r="22" spans="1:50" x14ac:dyDescent="0.6">
      <c r="A22" s="154" t="s">
        <v>186</v>
      </c>
      <c r="B22" s="105"/>
      <c r="C22" s="105"/>
      <c r="D22" s="105"/>
      <c r="E22" s="106"/>
      <c r="F22" s="107"/>
      <c r="G22" s="238"/>
      <c r="H22" s="109"/>
      <c r="I22" s="110"/>
      <c r="J22" s="111"/>
      <c r="K22" s="105"/>
      <c r="L22" s="243"/>
      <c r="M22" s="134"/>
      <c r="N22" s="134"/>
      <c r="O22" s="134"/>
      <c r="P22" s="262"/>
      <c r="Q22" s="109"/>
      <c r="R22" s="109"/>
      <c r="S22" s="115"/>
      <c r="T22" s="115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6"/>
      <c r="AO22" s="156"/>
      <c r="AP22" s="118"/>
      <c r="AQ22" s="109"/>
      <c r="AR22" s="111"/>
      <c r="AS22" s="111"/>
      <c r="AT22" s="111"/>
      <c r="AU22" s="105"/>
      <c r="AV22" s="119"/>
      <c r="AW22" s="136"/>
      <c r="AX22" s="115"/>
    </row>
    <row r="23" spans="1:50" x14ac:dyDescent="0.6">
      <c r="A23" s="154" t="s">
        <v>187</v>
      </c>
      <c r="B23" s="105"/>
      <c r="C23" s="105"/>
      <c r="D23" s="105"/>
      <c r="E23" s="106"/>
      <c r="F23" s="107"/>
      <c r="G23" s="238"/>
      <c r="H23" s="109"/>
      <c r="I23" s="110"/>
      <c r="J23" s="111"/>
      <c r="K23" s="105"/>
      <c r="L23" s="243"/>
      <c r="M23" s="134"/>
      <c r="N23" s="134"/>
      <c r="O23" s="134"/>
      <c r="P23" s="262"/>
      <c r="Q23" s="109"/>
      <c r="R23" s="109"/>
      <c r="S23" s="115"/>
      <c r="T23" s="115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6"/>
      <c r="AO23" s="156"/>
      <c r="AP23" s="118"/>
      <c r="AQ23" s="109"/>
      <c r="AR23" s="111"/>
      <c r="AS23" s="111"/>
      <c r="AT23" s="111"/>
      <c r="AU23" s="105"/>
      <c r="AV23" s="119"/>
      <c r="AW23" s="136"/>
      <c r="AX23" s="115"/>
    </row>
    <row r="24" spans="1:50" x14ac:dyDescent="0.6">
      <c r="A24" s="154" t="s">
        <v>188</v>
      </c>
      <c r="B24" s="105"/>
      <c r="C24" s="105"/>
      <c r="D24" s="105"/>
      <c r="E24" s="106"/>
      <c r="F24" s="107"/>
      <c r="G24" s="238"/>
      <c r="H24" s="109"/>
      <c r="I24" s="110"/>
      <c r="J24" s="111"/>
      <c r="K24" s="105"/>
      <c r="L24" s="243"/>
      <c r="M24" s="134"/>
      <c r="N24" s="134"/>
      <c r="O24" s="134"/>
      <c r="P24" s="262"/>
      <c r="Q24" s="109"/>
      <c r="R24" s="109"/>
      <c r="S24" s="115"/>
      <c r="T24" s="115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6"/>
      <c r="AO24" s="156"/>
      <c r="AP24" s="118"/>
      <c r="AQ24" s="109"/>
      <c r="AR24" s="111"/>
      <c r="AS24" s="111"/>
      <c r="AT24" s="111"/>
      <c r="AU24" s="105"/>
      <c r="AV24" s="119"/>
      <c r="AW24" s="136"/>
      <c r="AX24" s="115"/>
    </row>
    <row r="25" spans="1:50" x14ac:dyDescent="0.6">
      <c r="A25" s="154" t="s">
        <v>189</v>
      </c>
      <c r="B25" s="105"/>
      <c r="C25" s="105"/>
      <c r="D25" s="105"/>
      <c r="E25" s="106"/>
      <c r="F25" s="107"/>
      <c r="G25" s="238"/>
      <c r="H25" s="109"/>
      <c r="I25" s="110"/>
      <c r="J25" s="111"/>
      <c r="K25" s="105"/>
      <c r="L25" s="243"/>
      <c r="M25" s="134"/>
      <c r="N25" s="134"/>
      <c r="O25" s="134"/>
      <c r="P25" s="262"/>
      <c r="Q25" s="109"/>
      <c r="R25" s="109"/>
      <c r="S25" s="115"/>
      <c r="T25" s="115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6"/>
      <c r="AO25" s="156"/>
      <c r="AP25" s="118"/>
      <c r="AQ25" s="109"/>
      <c r="AR25" s="111"/>
      <c r="AS25" s="111"/>
      <c r="AT25" s="111"/>
      <c r="AU25" s="105"/>
      <c r="AV25" s="119"/>
      <c r="AW25" s="136"/>
      <c r="AX25" s="115"/>
    </row>
    <row r="26" spans="1:50" x14ac:dyDescent="0.6">
      <c r="A26" s="154" t="s">
        <v>190</v>
      </c>
      <c r="B26" s="105"/>
      <c r="C26" s="105"/>
      <c r="D26" s="105"/>
      <c r="E26" s="106"/>
      <c r="F26" s="107"/>
      <c r="G26" s="238"/>
      <c r="H26" s="109"/>
      <c r="I26" s="110"/>
      <c r="J26" s="111"/>
      <c r="K26" s="105"/>
      <c r="L26" s="243"/>
      <c r="M26" s="134"/>
      <c r="N26" s="134"/>
      <c r="O26" s="134"/>
      <c r="P26" s="262"/>
      <c r="Q26" s="109"/>
      <c r="R26" s="109"/>
      <c r="S26" s="115"/>
      <c r="T26" s="115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6"/>
      <c r="AO26" s="156"/>
      <c r="AP26" s="118"/>
      <c r="AQ26" s="109"/>
      <c r="AR26" s="111"/>
      <c r="AS26" s="111"/>
      <c r="AT26" s="111"/>
      <c r="AU26" s="105"/>
      <c r="AV26" s="119"/>
      <c r="AW26" s="136"/>
      <c r="AX26" s="115"/>
    </row>
    <row r="27" spans="1:50" x14ac:dyDescent="0.6">
      <c r="A27" s="160" t="s">
        <v>191</v>
      </c>
      <c r="B27" s="93"/>
      <c r="C27" s="93"/>
      <c r="D27" s="93"/>
      <c r="E27" s="94"/>
      <c r="F27" s="95"/>
      <c r="G27" s="237"/>
      <c r="H27" s="99"/>
      <c r="I27" s="101"/>
      <c r="J27" s="96"/>
      <c r="K27" s="93"/>
      <c r="L27" s="255"/>
      <c r="M27" s="131"/>
      <c r="N27" s="131"/>
      <c r="O27" s="131"/>
      <c r="P27" s="265"/>
      <c r="Q27" s="99"/>
      <c r="R27" s="99"/>
      <c r="S27" s="100"/>
      <c r="T27" s="100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2"/>
      <c r="AO27" s="169"/>
      <c r="AP27" s="103"/>
      <c r="AQ27" s="99"/>
      <c r="AR27" s="96"/>
      <c r="AS27" s="96"/>
      <c r="AT27" s="96"/>
      <c r="AU27" s="93"/>
      <c r="AV27" s="104"/>
      <c r="AW27" s="133"/>
      <c r="AX27" s="100"/>
    </row>
    <row r="28" spans="1:50" x14ac:dyDescent="0.6">
      <c r="A28" s="154" t="s">
        <v>192</v>
      </c>
      <c r="B28" s="105"/>
      <c r="C28" s="105"/>
      <c r="D28" s="105"/>
      <c r="E28" s="106"/>
      <c r="F28" s="107"/>
      <c r="G28" s="238"/>
      <c r="H28" s="109"/>
      <c r="I28" s="110"/>
      <c r="J28" s="111"/>
      <c r="K28" s="105"/>
      <c r="L28" s="243"/>
      <c r="M28" s="134"/>
      <c r="N28" s="134"/>
      <c r="O28" s="134"/>
      <c r="P28" s="262"/>
      <c r="Q28" s="109"/>
      <c r="R28" s="109"/>
      <c r="S28" s="115"/>
      <c r="T28" s="115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6"/>
      <c r="AO28" s="156"/>
      <c r="AP28" s="118"/>
      <c r="AQ28" s="109"/>
      <c r="AR28" s="111"/>
      <c r="AS28" s="111"/>
      <c r="AT28" s="111"/>
      <c r="AU28" s="105"/>
      <c r="AV28" s="119"/>
      <c r="AW28" s="136"/>
      <c r="AX28" s="115"/>
    </row>
    <row r="29" spans="1:50" x14ac:dyDescent="0.6">
      <c r="A29" s="154" t="s">
        <v>193</v>
      </c>
      <c r="B29" s="105"/>
      <c r="C29" s="105"/>
      <c r="D29" s="105"/>
      <c r="E29" s="106"/>
      <c r="F29" s="107"/>
      <c r="G29" s="238"/>
      <c r="H29" s="109"/>
      <c r="I29" s="110"/>
      <c r="J29" s="111"/>
      <c r="K29" s="105"/>
      <c r="L29" s="243"/>
      <c r="M29" s="134"/>
      <c r="N29" s="134"/>
      <c r="O29" s="134"/>
      <c r="P29" s="262"/>
      <c r="Q29" s="109"/>
      <c r="R29" s="109"/>
      <c r="S29" s="115"/>
      <c r="T29" s="115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6"/>
      <c r="AO29" s="156"/>
      <c r="AP29" s="118"/>
      <c r="AQ29" s="109"/>
      <c r="AR29" s="111"/>
      <c r="AS29" s="111"/>
      <c r="AT29" s="111"/>
      <c r="AU29" s="105"/>
      <c r="AV29" s="119"/>
      <c r="AW29" s="136"/>
      <c r="AX29" s="115"/>
    </row>
    <row r="30" spans="1:50" x14ac:dyDescent="0.6">
      <c r="A30" s="154" t="s">
        <v>194</v>
      </c>
      <c r="B30" s="105"/>
      <c r="C30" s="105"/>
      <c r="D30" s="105"/>
      <c r="E30" s="106"/>
      <c r="F30" s="107"/>
      <c r="G30" s="238"/>
      <c r="H30" s="109"/>
      <c r="I30" s="110"/>
      <c r="J30" s="111"/>
      <c r="K30" s="105"/>
      <c r="L30" s="243"/>
      <c r="M30" s="134"/>
      <c r="N30" s="134"/>
      <c r="O30" s="134"/>
      <c r="P30" s="262"/>
      <c r="Q30" s="109"/>
      <c r="R30" s="109"/>
      <c r="S30" s="115"/>
      <c r="T30" s="115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6"/>
      <c r="AO30" s="156"/>
      <c r="AP30" s="118"/>
      <c r="AQ30" s="109"/>
      <c r="AR30" s="111"/>
      <c r="AS30" s="111"/>
      <c r="AT30" s="111"/>
      <c r="AU30" s="105"/>
      <c r="AV30" s="119"/>
      <c r="AW30" s="136"/>
      <c r="AX30" s="115"/>
    </row>
    <row r="31" spans="1:50" x14ac:dyDescent="0.6">
      <c r="A31" s="154" t="s">
        <v>195</v>
      </c>
      <c r="B31" s="105"/>
      <c r="C31" s="105"/>
      <c r="D31" s="105"/>
      <c r="E31" s="106"/>
      <c r="F31" s="107"/>
      <c r="G31" s="238"/>
      <c r="H31" s="109"/>
      <c r="I31" s="110"/>
      <c r="J31" s="111"/>
      <c r="K31" s="105"/>
      <c r="L31" s="243"/>
      <c r="M31" s="134"/>
      <c r="N31" s="134"/>
      <c r="O31" s="134"/>
      <c r="P31" s="262"/>
      <c r="Q31" s="109"/>
      <c r="R31" s="109"/>
      <c r="S31" s="115"/>
      <c r="T31" s="115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6"/>
      <c r="AO31" s="156"/>
      <c r="AP31" s="118"/>
      <c r="AQ31" s="109"/>
      <c r="AR31" s="111"/>
      <c r="AS31" s="111"/>
      <c r="AT31" s="111"/>
      <c r="AU31" s="105"/>
      <c r="AV31" s="119"/>
      <c r="AW31" s="136"/>
      <c r="AX31" s="115"/>
    </row>
    <row r="32" spans="1:50" x14ac:dyDescent="0.6">
      <c r="A32" s="154" t="s">
        <v>196</v>
      </c>
      <c r="B32" s="105"/>
      <c r="C32" s="105"/>
      <c r="D32" s="105"/>
      <c r="E32" s="106"/>
      <c r="F32" s="107"/>
      <c r="G32" s="238"/>
      <c r="H32" s="109"/>
      <c r="I32" s="110"/>
      <c r="J32" s="111"/>
      <c r="K32" s="105"/>
      <c r="L32" s="243"/>
      <c r="M32" s="134"/>
      <c r="N32" s="134"/>
      <c r="O32" s="134"/>
      <c r="P32" s="262"/>
      <c r="Q32" s="109"/>
      <c r="R32" s="109"/>
      <c r="S32" s="115"/>
      <c r="T32" s="115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6"/>
      <c r="AO32" s="156"/>
      <c r="AP32" s="118"/>
      <c r="AQ32" s="109"/>
      <c r="AR32" s="111"/>
      <c r="AS32" s="111"/>
      <c r="AT32" s="111"/>
      <c r="AU32" s="105"/>
      <c r="AV32" s="119"/>
      <c r="AW32" s="136"/>
      <c r="AX32" s="115"/>
    </row>
    <row r="33" spans="1:50" x14ac:dyDescent="0.6">
      <c r="A33" s="154" t="s">
        <v>197</v>
      </c>
      <c r="B33" s="105"/>
      <c r="C33" s="105"/>
      <c r="D33" s="105"/>
      <c r="E33" s="106"/>
      <c r="F33" s="107"/>
      <c r="G33" s="238"/>
      <c r="H33" s="109"/>
      <c r="I33" s="110"/>
      <c r="J33" s="111"/>
      <c r="K33" s="105"/>
      <c r="L33" s="243"/>
      <c r="M33" s="134"/>
      <c r="N33" s="134"/>
      <c r="O33" s="134"/>
      <c r="P33" s="262"/>
      <c r="Q33" s="109"/>
      <c r="R33" s="109"/>
      <c r="S33" s="115"/>
      <c r="T33" s="115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6"/>
      <c r="AO33" s="156"/>
      <c r="AP33" s="118"/>
      <c r="AQ33" s="109"/>
      <c r="AR33" s="111"/>
      <c r="AS33" s="111"/>
      <c r="AT33" s="111"/>
      <c r="AU33" s="105"/>
      <c r="AV33" s="119"/>
      <c r="AW33" s="136"/>
      <c r="AX33" s="115"/>
    </row>
    <row r="34" spans="1:50" x14ac:dyDescent="0.6">
      <c r="A34" s="154" t="s">
        <v>198</v>
      </c>
      <c r="B34" s="105"/>
      <c r="C34" s="105"/>
      <c r="D34" s="105"/>
      <c r="E34" s="106"/>
      <c r="F34" s="107"/>
      <c r="G34" s="238"/>
      <c r="H34" s="109"/>
      <c r="I34" s="110"/>
      <c r="J34" s="111"/>
      <c r="K34" s="105"/>
      <c r="L34" s="243"/>
      <c r="M34" s="134"/>
      <c r="N34" s="134"/>
      <c r="O34" s="134"/>
      <c r="P34" s="262"/>
      <c r="Q34" s="109"/>
      <c r="R34" s="109"/>
      <c r="S34" s="115"/>
      <c r="T34" s="115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6"/>
      <c r="AO34" s="156"/>
      <c r="AP34" s="118"/>
      <c r="AQ34" s="109"/>
      <c r="AR34" s="111"/>
      <c r="AS34" s="111"/>
      <c r="AT34" s="111"/>
      <c r="AU34" s="105"/>
      <c r="AV34" s="119"/>
      <c r="AW34" s="136"/>
      <c r="AX34" s="115"/>
    </row>
    <row r="35" spans="1:50" x14ac:dyDescent="0.6">
      <c r="A35" s="154" t="s">
        <v>199</v>
      </c>
      <c r="B35" s="105"/>
      <c r="C35" s="105"/>
      <c r="D35" s="105"/>
      <c r="E35" s="106"/>
      <c r="F35" s="107"/>
      <c r="G35" s="238"/>
      <c r="H35" s="109"/>
      <c r="I35" s="110"/>
      <c r="J35" s="111"/>
      <c r="K35" s="105"/>
      <c r="L35" s="243"/>
      <c r="M35" s="134"/>
      <c r="N35" s="134"/>
      <c r="O35" s="134"/>
      <c r="P35" s="262"/>
      <c r="Q35" s="109"/>
      <c r="R35" s="109"/>
      <c r="S35" s="115"/>
      <c r="T35" s="115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6"/>
      <c r="AO35" s="156"/>
      <c r="AP35" s="118"/>
      <c r="AQ35" s="109"/>
      <c r="AR35" s="111"/>
      <c r="AS35" s="111"/>
      <c r="AT35" s="111"/>
      <c r="AU35" s="105"/>
      <c r="AV35" s="119"/>
      <c r="AW35" s="136"/>
      <c r="AX35" s="115"/>
    </row>
    <row r="36" spans="1:50" x14ac:dyDescent="0.6">
      <c r="A36" s="154" t="s">
        <v>200</v>
      </c>
      <c r="B36" s="105"/>
      <c r="C36" s="105"/>
      <c r="D36" s="105"/>
      <c r="E36" s="106"/>
      <c r="F36" s="107"/>
      <c r="G36" s="238"/>
      <c r="H36" s="109"/>
      <c r="I36" s="110"/>
      <c r="J36" s="111"/>
      <c r="K36" s="105"/>
      <c r="L36" s="243"/>
      <c r="M36" s="134"/>
      <c r="N36" s="134"/>
      <c r="O36" s="134"/>
      <c r="P36" s="262"/>
      <c r="Q36" s="109"/>
      <c r="R36" s="109"/>
      <c r="S36" s="115"/>
      <c r="T36" s="115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6"/>
      <c r="AO36" s="156"/>
      <c r="AP36" s="118"/>
      <c r="AQ36" s="109"/>
      <c r="AR36" s="111"/>
      <c r="AS36" s="111"/>
      <c r="AT36" s="111"/>
      <c r="AU36" s="105"/>
      <c r="AV36" s="119"/>
      <c r="AW36" s="136"/>
      <c r="AX36" s="115"/>
    </row>
    <row r="37" spans="1:50" x14ac:dyDescent="0.6">
      <c r="A37" s="157" t="s">
        <v>201</v>
      </c>
      <c r="B37" s="85"/>
      <c r="C37" s="16"/>
      <c r="D37" s="84" t="s">
        <v>237</v>
      </c>
      <c r="E37" s="84"/>
      <c r="F37" s="201"/>
      <c r="G37" s="236"/>
      <c r="H37" s="74"/>
      <c r="I37" s="75"/>
      <c r="J37" s="82"/>
      <c r="K37" s="69"/>
      <c r="L37" s="19"/>
      <c r="M37" s="83"/>
      <c r="N37" s="83"/>
      <c r="O37" s="83"/>
      <c r="P37" s="263"/>
      <c r="Q37" s="74"/>
      <c r="R37" s="74"/>
      <c r="S37" s="88">
        <v>90</v>
      </c>
      <c r="T37" s="79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 t="e">
        <f>AVERAGE(U37:AC37)</f>
        <v>#DIV/0!</v>
      </c>
      <c r="AN37" s="89">
        <v>3.67</v>
      </c>
      <c r="AO37" s="159"/>
      <c r="AP37" s="76"/>
      <c r="AQ37" s="74">
        <f>AN37-(AN37-Q37)*(SIN((S37+AX37)*PI()/180))/(COS(AX37*PI()/180))</f>
        <v>0</v>
      </c>
      <c r="AR37" s="82">
        <f>H37+($M$1-M37)-(AN37-Q37)*(COS(S37*PI()/180))*(SIN((T37+13+2.3)*PI()/180))</f>
        <v>633905.21799999999</v>
      </c>
      <c r="AS37" s="82">
        <f>I37+($N$1-N37)-(AN37-Q37)*(COS(S37*PI()/180))*(COS((T37+13+2.3)*PI()/180))</f>
        <v>3049240.4240000001</v>
      </c>
      <c r="AT37" s="82">
        <f>J37+($O$1-O37)-R37+AN37-(AN37-Q37)*(SIN(S37*PI()/180))-L37</f>
        <v>56.365000000000002</v>
      </c>
      <c r="AU37" s="69"/>
      <c r="AV37" s="92"/>
      <c r="AW37" s="128">
        <f>AQ37-'Estacas Johnsons'!AQ37</f>
        <v>0.28000000000000025</v>
      </c>
      <c r="AX37" s="79"/>
    </row>
    <row r="38" spans="1:50" x14ac:dyDescent="0.6">
      <c r="A38" s="157" t="s">
        <v>202</v>
      </c>
      <c r="B38" s="84"/>
      <c r="C38" s="84"/>
      <c r="D38" s="84" t="s">
        <v>237</v>
      </c>
      <c r="E38" s="61"/>
      <c r="F38" s="62"/>
      <c r="G38" s="236"/>
      <c r="H38" s="74"/>
      <c r="I38" s="75"/>
      <c r="J38" s="82"/>
      <c r="K38" s="69"/>
      <c r="L38" s="19"/>
      <c r="M38" s="83"/>
      <c r="N38" s="83"/>
      <c r="O38" s="83"/>
      <c r="P38" s="264"/>
      <c r="Q38" s="74"/>
      <c r="R38" s="74"/>
      <c r="S38" s="220">
        <v>90</v>
      </c>
      <c r="T38" s="79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 t="e">
        <f>AVERAGE(U38:AC38)</f>
        <v>#DIV/0!</v>
      </c>
      <c r="AN38" s="89">
        <v>3.67</v>
      </c>
      <c r="AO38" s="127"/>
      <c r="AP38" s="76"/>
      <c r="AQ38" s="74">
        <f>AN38-(AN38-Q38)*(SIN((S38+AX38)*PI()/180))/(COS(AX38*PI()/180))</f>
        <v>0</v>
      </c>
      <c r="AR38" s="82">
        <f>H38+($M$1-M38)-(AN38-Q38)*(COS(S38*PI()/180))*(SIN((T38+13+2.3)*PI()/180))</f>
        <v>633905.21799999999</v>
      </c>
      <c r="AS38" s="82">
        <f>I38+($N$1-N38)-(AN38-Q38)*(COS(S38*PI()/180))*(COS((T38+13+2.3)*PI()/180))</f>
        <v>3049240.4240000001</v>
      </c>
      <c r="AT38" s="82">
        <f>J38+($O$1-O38)-R38+AN38-(AN38-Q38)*(SIN(S38*PI()/180))-L38</f>
        <v>56.365000000000002</v>
      </c>
      <c r="AU38" s="69"/>
      <c r="AV38" s="92"/>
      <c r="AW38" s="128">
        <f>AQ38-'Estacas Johnsons'!AQ38</f>
        <v>-0.96</v>
      </c>
      <c r="AX38" s="79"/>
    </row>
    <row r="39" spans="1:50" x14ac:dyDescent="0.6">
      <c r="A39" s="157" t="s">
        <v>203</v>
      </c>
      <c r="B39" s="84"/>
      <c r="C39" s="84"/>
      <c r="D39" s="84" t="s">
        <v>237</v>
      </c>
      <c r="E39" s="61"/>
      <c r="F39" s="178"/>
      <c r="G39" s="236"/>
      <c r="H39" s="74"/>
      <c r="I39" s="75"/>
      <c r="J39" s="82"/>
      <c r="K39" s="69"/>
      <c r="L39" s="19"/>
      <c r="M39" s="83"/>
      <c r="N39" s="83"/>
      <c r="O39" s="83"/>
      <c r="P39" s="264"/>
      <c r="Q39" s="74"/>
      <c r="R39" s="74"/>
      <c r="S39" s="220">
        <v>90</v>
      </c>
      <c r="T39" s="79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 t="e">
        <f>AVERAGE(U39:AC39)</f>
        <v>#DIV/0!</v>
      </c>
      <c r="AN39" s="89">
        <v>3.67</v>
      </c>
      <c r="AO39" s="127"/>
      <c r="AP39" s="76"/>
      <c r="AQ39" s="74">
        <f>AN39-(AN39-Q39)*(SIN((S39+AX39)*PI()/180))/(COS(AX39*PI()/180))</f>
        <v>0</v>
      </c>
      <c r="AR39" s="82">
        <f>H39+($M$1-M39)-(AN39-Q39)*(COS(S39*PI()/180))*(SIN((T39+13+2.3)*PI()/180))</f>
        <v>633905.21799999999</v>
      </c>
      <c r="AS39" s="82">
        <f>I39+($N$1-N39)-(AN39-Q39)*(COS(S39*PI()/180))*(COS((T39+13+2.3)*PI()/180))</f>
        <v>3049240.4240000001</v>
      </c>
      <c r="AT39" s="82">
        <f>J39+($O$1-O39)-R39+AN39-(AN39-Q39)*(SIN(S39*PI()/180))-L39</f>
        <v>56.365000000000002</v>
      </c>
      <c r="AU39" s="69"/>
      <c r="AV39" s="92"/>
      <c r="AW39" s="128">
        <f>AQ39-'Estacas Johnsons'!AQ39</f>
        <v>-0.91999999999999993</v>
      </c>
      <c r="AX39" s="79"/>
    </row>
    <row r="40" spans="1:50" x14ac:dyDescent="0.6">
      <c r="A40" s="157" t="s">
        <v>204</v>
      </c>
      <c r="B40" s="84"/>
      <c r="C40" s="84"/>
      <c r="D40" s="84" t="s">
        <v>237</v>
      </c>
      <c r="E40" s="61"/>
      <c r="F40" s="62"/>
      <c r="G40" s="236"/>
      <c r="H40" s="74"/>
      <c r="I40" s="75"/>
      <c r="J40" s="82"/>
      <c r="K40" s="69"/>
      <c r="L40" s="19"/>
      <c r="M40" s="83"/>
      <c r="N40" s="83"/>
      <c r="O40" s="83"/>
      <c r="P40" s="264"/>
      <c r="Q40" s="74"/>
      <c r="R40" s="74"/>
      <c r="S40" s="220">
        <v>90</v>
      </c>
      <c r="T40" s="79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 t="e">
        <f>AVERAGE(U40:AC40)</f>
        <v>#DIV/0!</v>
      </c>
      <c r="AN40" s="89">
        <v>3.67</v>
      </c>
      <c r="AO40" s="159"/>
      <c r="AP40" s="76"/>
      <c r="AQ40" s="74">
        <f>AN40-(AN40-Q40)*(SIN((S40+AX40)*PI()/180))/(COS(AX40*PI()/180))</f>
        <v>0</v>
      </c>
      <c r="AR40" s="82">
        <f>H40+($M$1-M40)-(AN40-Q40)*(COS(S40*PI()/180))*(SIN((T40+13+2.3)*PI()/180))</f>
        <v>633905.21799999999</v>
      </c>
      <c r="AS40" s="82">
        <f>I40+($N$1-N40)-(AN40-Q40)*(COS(S40*PI()/180))*(COS((T40+13+2.3)*PI()/180))</f>
        <v>3049240.4240000001</v>
      </c>
      <c r="AT40" s="82">
        <f>J40+($O$1-O40)-R40+AN40-(AN40-Q40)*(SIN(S40*PI()/180))-L40</f>
        <v>56.365000000000002</v>
      </c>
      <c r="AU40" s="69"/>
      <c r="AV40" s="92"/>
      <c r="AW40" s="128">
        <f>AQ40-'Estacas Johnsons'!AQ40</f>
        <v>-0.48</v>
      </c>
      <c r="AX40" s="79"/>
    </row>
    <row r="41" spans="1:50" x14ac:dyDescent="0.6">
      <c r="A41" s="154" t="s">
        <v>205</v>
      </c>
      <c r="B41" s="105"/>
      <c r="C41" s="105"/>
      <c r="D41" s="105"/>
      <c r="E41" s="106"/>
      <c r="F41" s="107"/>
      <c r="G41" s="238"/>
      <c r="H41" s="109"/>
      <c r="I41" s="110"/>
      <c r="J41" s="111"/>
      <c r="K41" s="105"/>
      <c r="L41" s="243"/>
      <c r="M41" s="134"/>
      <c r="N41" s="134"/>
      <c r="O41" s="134"/>
      <c r="P41" s="262"/>
      <c r="Q41" s="109"/>
      <c r="R41" s="109"/>
      <c r="S41" s="115"/>
      <c r="T41" s="115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6"/>
      <c r="AO41" s="156"/>
      <c r="AP41" s="118"/>
      <c r="AQ41" s="109"/>
      <c r="AR41" s="111"/>
      <c r="AS41" s="111"/>
      <c r="AT41" s="111"/>
      <c r="AU41" s="105"/>
      <c r="AV41" s="119"/>
      <c r="AW41" s="136"/>
      <c r="AX41" s="115"/>
    </row>
    <row r="42" spans="1:50" x14ac:dyDescent="0.6">
      <c r="A42" s="157" t="s">
        <v>206</v>
      </c>
      <c r="B42" s="84"/>
      <c r="C42" s="84"/>
      <c r="D42" s="84" t="s">
        <v>237</v>
      </c>
      <c r="E42" s="61"/>
      <c r="F42" s="62"/>
      <c r="G42" s="236"/>
      <c r="H42" s="74"/>
      <c r="I42" s="75"/>
      <c r="J42" s="82"/>
      <c r="K42" s="69"/>
      <c r="L42" s="19"/>
      <c r="M42" s="83"/>
      <c r="N42" s="83"/>
      <c r="O42" s="83"/>
      <c r="P42" s="264"/>
      <c r="Q42" s="74"/>
      <c r="R42" s="74"/>
      <c r="S42" s="220">
        <v>90</v>
      </c>
      <c r="T42" s="79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 t="e">
        <f>AVERAGE(U42:AC42)</f>
        <v>#DIV/0!</v>
      </c>
      <c r="AN42" s="89">
        <v>3.67</v>
      </c>
      <c r="AO42" s="127"/>
      <c r="AP42" s="76"/>
      <c r="AQ42" s="74">
        <f>AN42-(AN42-Q42)*(SIN((S42+AX42)*PI()/180))/(COS(AX42*PI()/180))</f>
        <v>0</v>
      </c>
      <c r="AR42" s="82">
        <f>H42+($M$1-M42)-(AN42-Q42)*(COS(S42*PI()/180))*(SIN((T42+13+2.3)*PI()/180))</f>
        <v>633905.21799999999</v>
      </c>
      <c r="AS42" s="82">
        <f>I42+($N$1-N42)-(AN42-Q42)*(COS(S42*PI()/180))*(COS((T42+13+2.3)*PI()/180))</f>
        <v>3049240.4240000001</v>
      </c>
      <c r="AT42" s="82">
        <f>J42+($O$1-O42)-R42+AN42-(AN42-Q42)*(SIN(S42*PI()/180))-L42</f>
        <v>56.365000000000002</v>
      </c>
      <c r="AU42" s="69"/>
      <c r="AV42" s="92"/>
      <c r="AW42" s="128">
        <f>AQ42-'Estacas Johnsons'!AQ42</f>
        <v>0.12000000000000011</v>
      </c>
      <c r="AX42" s="79"/>
    </row>
    <row r="43" spans="1:50" x14ac:dyDescent="0.6">
      <c r="A43" s="157" t="s">
        <v>207</v>
      </c>
      <c r="B43" s="84"/>
      <c r="C43" s="84"/>
      <c r="D43" s="84" t="s">
        <v>237</v>
      </c>
      <c r="E43" s="61"/>
      <c r="F43" s="62"/>
      <c r="G43" s="236"/>
      <c r="H43" s="74"/>
      <c r="I43" s="75"/>
      <c r="J43" s="82"/>
      <c r="K43" s="69"/>
      <c r="L43" s="19"/>
      <c r="M43" s="83"/>
      <c r="N43" s="83"/>
      <c r="O43" s="83"/>
      <c r="P43" s="264"/>
      <c r="Q43" s="74"/>
      <c r="R43" s="74"/>
      <c r="S43" s="220">
        <v>90</v>
      </c>
      <c r="T43" s="79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 t="e">
        <f>AVERAGE(U43:AC43)</f>
        <v>#DIV/0!</v>
      </c>
      <c r="AN43" s="89">
        <v>3.67</v>
      </c>
      <c r="AO43" s="127"/>
      <c r="AP43" s="76"/>
      <c r="AQ43" s="74">
        <f>AN43-(AN43-Q43)*(SIN((S43+AX43)*PI()/180))/(COS(AX43*PI()/180))</f>
        <v>0</v>
      </c>
      <c r="AR43" s="82">
        <f>H43+($M$1-M43)-(AN43-Q43)*(COS(S43*PI()/180))*(SIN((T43+13+2.3)*PI()/180))</f>
        <v>633905.21799999999</v>
      </c>
      <c r="AS43" s="82">
        <f>I43+($N$1-N43)-(AN43-Q43)*(COS(S43*PI()/180))*(COS((T43+13+2.3)*PI()/180))</f>
        <v>3049240.4240000001</v>
      </c>
      <c r="AT43" s="82">
        <f>J43+($O$1-O43)-R43+AN43-(AN43-Q43)*(SIN(S43*PI()/180))-L43</f>
        <v>56.365000000000002</v>
      </c>
      <c r="AU43" s="69"/>
      <c r="AV43" s="92"/>
      <c r="AW43" s="128">
        <f>AQ43-'Estacas Johnsons'!AQ43</f>
        <v>-0.95000000000000018</v>
      </c>
      <c r="AX43" s="79"/>
    </row>
    <row r="44" spans="1:50" x14ac:dyDescent="0.6">
      <c r="A44" s="154" t="s">
        <v>208</v>
      </c>
      <c r="B44" s="105"/>
      <c r="C44" s="105"/>
      <c r="D44" s="105"/>
      <c r="E44" s="106"/>
      <c r="F44" s="107"/>
      <c r="G44" s="238"/>
      <c r="H44" s="109"/>
      <c r="I44" s="110"/>
      <c r="J44" s="111"/>
      <c r="K44" s="105"/>
      <c r="L44" s="243"/>
      <c r="M44" s="134"/>
      <c r="N44" s="134"/>
      <c r="O44" s="134"/>
      <c r="P44" s="262"/>
      <c r="Q44" s="109"/>
      <c r="R44" s="109"/>
      <c r="S44" s="115"/>
      <c r="T44" s="115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6"/>
      <c r="AO44" s="156"/>
      <c r="AP44" s="118"/>
      <c r="AQ44" s="109"/>
      <c r="AR44" s="111"/>
      <c r="AS44" s="111"/>
      <c r="AT44" s="111"/>
      <c r="AU44" s="105"/>
      <c r="AV44" s="119"/>
      <c r="AW44" s="136"/>
      <c r="AX44" s="115"/>
    </row>
    <row r="45" spans="1:50" x14ac:dyDescent="0.6">
      <c r="A45" s="160" t="s">
        <v>209</v>
      </c>
      <c r="B45" s="105"/>
      <c r="C45" s="105"/>
      <c r="D45" s="105"/>
      <c r="E45" s="106"/>
      <c r="F45" s="107"/>
      <c r="G45" s="238"/>
      <c r="H45" s="109"/>
      <c r="I45" s="110"/>
      <c r="J45" s="111"/>
      <c r="K45" s="105"/>
      <c r="L45" s="243"/>
      <c r="M45" s="134"/>
      <c r="N45" s="134"/>
      <c r="O45" s="134"/>
      <c r="P45" s="262"/>
      <c r="Q45" s="109"/>
      <c r="R45" s="109"/>
      <c r="S45" s="115"/>
      <c r="T45" s="115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22"/>
      <c r="AO45" s="156"/>
      <c r="AP45" s="118"/>
      <c r="AQ45" s="109"/>
      <c r="AR45" s="111"/>
      <c r="AS45" s="111"/>
      <c r="AT45" s="111"/>
      <c r="AU45" s="105"/>
      <c r="AV45" s="119"/>
      <c r="AW45" s="136"/>
      <c r="AX45" s="115"/>
    </row>
    <row r="46" spans="1:50" x14ac:dyDescent="0.6">
      <c r="A46" s="157" t="s">
        <v>210</v>
      </c>
      <c r="B46" s="84"/>
      <c r="C46" s="84"/>
      <c r="D46" s="84" t="s">
        <v>237</v>
      </c>
      <c r="E46" s="61"/>
      <c r="F46" s="62"/>
      <c r="G46" s="235"/>
      <c r="H46" s="74"/>
      <c r="I46" s="75"/>
      <c r="J46" s="82"/>
      <c r="K46" s="69"/>
      <c r="L46" s="19"/>
      <c r="M46" s="83"/>
      <c r="N46" s="83"/>
      <c r="O46" s="83"/>
      <c r="P46" s="264"/>
      <c r="Q46" s="74"/>
      <c r="R46" s="74"/>
      <c r="S46" s="220">
        <v>90</v>
      </c>
      <c r="T46" s="79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 t="e">
        <f>AVERAGE(U46:AC46)</f>
        <v>#DIV/0!</v>
      </c>
      <c r="AN46" s="89">
        <v>3.67</v>
      </c>
      <c r="AO46" s="127"/>
      <c r="AP46" s="76"/>
      <c r="AQ46" s="74">
        <f>AN46-(AN46-Q46)*(SIN((S46+AX46)*PI()/180))/(COS(AX46*PI()/180))</f>
        <v>0</v>
      </c>
      <c r="AR46" s="82">
        <f>H46+($M$1-M46)-(AN46-Q46)*(COS(S46*PI()/180))*(SIN((T46+13+2.3)*PI()/180))</f>
        <v>633905.21799999999</v>
      </c>
      <c r="AS46" s="82">
        <f>I46+($N$1-N46)-(AN46-Q46)*(COS(S46*PI()/180))*(COS((T46+13+2.3)*PI()/180))</f>
        <v>3049240.4240000001</v>
      </c>
      <c r="AT46" s="82">
        <f>J46+($O$1-O46)-R46+AN46-(AN46-Q46)*(SIN(S46*PI()/180))-L46</f>
        <v>56.365000000000002</v>
      </c>
      <c r="AU46" s="69"/>
      <c r="AV46" s="92"/>
      <c r="AW46" s="128">
        <f>AQ46-'Estacas Johnsons'!AQ46</f>
        <v>0.14000000000000012</v>
      </c>
      <c r="AX46" s="79"/>
    </row>
    <row r="47" spans="1:50" x14ac:dyDescent="0.6">
      <c r="A47" s="157" t="s">
        <v>211</v>
      </c>
      <c r="B47" s="85"/>
      <c r="C47" s="16"/>
      <c r="D47" s="84" t="s">
        <v>237</v>
      </c>
      <c r="E47" s="84"/>
      <c r="F47" s="201"/>
      <c r="G47" s="236"/>
      <c r="H47" s="74"/>
      <c r="I47" s="75"/>
      <c r="J47" s="82"/>
      <c r="K47" s="84"/>
      <c r="L47" s="19"/>
      <c r="M47" s="83"/>
      <c r="N47" s="83"/>
      <c r="O47" s="83"/>
      <c r="P47" s="263"/>
      <c r="Q47" s="74"/>
      <c r="R47" s="74"/>
      <c r="S47" s="220">
        <v>90</v>
      </c>
      <c r="T47" s="79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 t="e">
        <f>AVERAGE(U47:AC47)</f>
        <v>#DIV/0!</v>
      </c>
      <c r="AN47" s="89">
        <v>3.67</v>
      </c>
      <c r="AO47" s="127"/>
      <c r="AP47" s="76"/>
      <c r="AQ47" s="74">
        <f>AN47-(AN47-Q47)*(SIN((S47+AX47)*PI()/180))/(COS(AX47*PI()/180))</f>
        <v>0</v>
      </c>
      <c r="AR47" s="82">
        <f>H47+($M$1-M47)-(AN47-Q47)*(COS(S47*PI()/180))*(SIN((T47+13+2.3)*PI()/180))</f>
        <v>633905.21799999999</v>
      </c>
      <c r="AS47" s="82">
        <f>I47+($N$1-N47)-(AN47-Q47)*(COS(S47*PI()/180))*(COS((T47+13+2.3)*PI()/180))</f>
        <v>3049240.4240000001</v>
      </c>
      <c r="AT47" s="82">
        <f>J47+($O$1-O47)-R47+AN47-(AN47-Q47)*(SIN(S47*PI()/180))-L47</f>
        <v>56.365000000000002</v>
      </c>
      <c r="AU47" s="69"/>
      <c r="AV47" s="92"/>
      <c r="AW47" s="128">
        <f>AQ47-'Estacas Johnsons'!AQ47</f>
        <v>0.25</v>
      </c>
      <c r="AX47" s="79"/>
    </row>
    <row r="48" spans="1:50" x14ac:dyDescent="0.6">
      <c r="A48" s="105" t="s">
        <v>212</v>
      </c>
      <c r="B48" s="136"/>
      <c r="C48" s="136"/>
      <c r="D48" s="136"/>
      <c r="E48" s="136"/>
      <c r="F48" s="136"/>
      <c r="G48" s="252"/>
      <c r="H48" s="136"/>
      <c r="I48" s="136"/>
      <c r="J48" s="136"/>
      <c r="K48" s="257"/>
      <c r="L48" s="136"/>
      <c r="M48" s="136"/>
      <c r="N48" s="136"/>
      <c r="O48" s="136"/>
      <c r="P48" s="26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62"/>
      <c r="AO48" s="170"/>
      <c r="AP48" s="136"/>
      <c r="AQ48" s="136"/>
      <c r="AR48" s="136"/>
      <c r="AS48" s="136"/>
      <c r="AT48" s="136"/>
      <c r="AU48" s="171"/>
      <c r="AV48" s="136"/>
      <c r="AW48" s="136"/>
      <c r="AX48" s="172"/>
    </row>
    <row r="49" spans="1:50" x14ac:dyDescent="0.6">
      <c r="A49" s="105" t="s">
        <v>213</v>
      </c>
      <c r="B49" s="136"/>
      <c r="C49" s="136"/>
      <c r="D49" s="136"/>
      <c r="E49" s="136"/>
      <c r="F49" s="136"/>
      <c r="G49" s="252"/>
      <c r="H49" s="136"/>
      <c r="I49" s="136"/>
      <c r="J49" s="136"/>
      <c r="K49" s="257"/>
      <c r="L49" s="136"/>
      <c r="M49" s="136"/>
      <c r="N49" s="136"/>
      <c r="O49" s="136"/>
      <c r="P49" s="26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62"/>
      <c r="AO49" s="170"/>
      <c r="AP49" s="136"/>
      <c r="AQ49" s="136"/>
      <c r="AR49" s="136"/>
      <c r="AS49" s="136"/>
      <c r="AT49" s="136"/>
      <c r="AU49" s="171"/>
      <c r="AV49" s="136"/>
      <c r="AW49" s="136"/>
      <c r="AX49" s="172"/>
    </row>
    <row r="50" spans="1:50" x14ac:dyDescent="0.6">
      <c r="A50" s="157" t="s">
        <v>214</v>
      </c>
      <c r="B50" s="84"/>
      <c r="C50" s="84"/>
      <c r="D50" s="84" t="s">
        <v>237</v>
      </c>
      <c r="E50" s="61"/>
      <c r="F50" s="62"/>
      <c r="G50" s="236"/>
      <c r="H50" s="74"/>
      <c r="I50" s="75"/>
      <c r="J50" s="82"/>
      <c r="K50" s="69"/>
      <c r="L50" s="19"/>
      <c r="M50" s="83"/>
      <c r="N50" s="83"/>
      <c r="O50" s="83"/>
      <c r="P50" s="264"/>
      <c r="Q50" s="74"/>
      <c r="R50" s="74"/>
      <c r="S50" s="220">
        <v>90</v>
      </c>
      <c r="T50" s="79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 t="e">
        <f>AVERAGE(U50:AC50)</f>
        <v>#DIV/0!</v>
      </c>
      <c r="AN50" s="89">
        <v>3.67</v>
      </c>
      <c r="AO50" s="127"/>
      <c r="AP50" s="76"/>
      <c r="AQ50" s="74">
        <f>AN50-(AN50-Q50)*(SIN((S50+AX50)*PI()/180))/(COS(AX50*PI()/180))</f>
        <v>0</v>
      </c>
      <c r="AR50" s="82">
        <f>H50+($M$1-M50)-(AN50-Q50)*(COS(S50*PI()/180))*(SIN((T50+13+2.3)*PI()/180))</f>
        <v>633905.21799999999</v>
      </c>
      <c r="AS50" s="82">
        <f>I50+($N$1-N50)-(AN50-Q50)*(COS(S50*PI()/180))*(COS((T50+13+2.3)*PI()/180))</f>
        <v>3049240.4240000001</v>
      </c>
      <c r="AT50" s="82">
        <f>J50+($O$1-O50)-R50+AN50-(AN50-Q50)*(SIN(S50*PI()/180))-L50</f>
        <v>56.365000000000002</v>
      </c>
      <c r="AU50" s="69"/>
      <c r="AV50" s="92"/>
      <c r="AW50" s="128">
        <f>AQ50-'Estacas Johnsons'!AQ50</f>
        <v>0.18999999999999995</v>
      </c>
      <c r="AX50" s="79"/>
    </row>
    <row r="51" spans="1:50" x14ac:dyDescent="0.6">
      <c r="A51" s="157" t="s">
        <v>215</v>
      </c>
      <c r="B51" s="84"/>
      <c r="C51" s="84"/>
      <c r="D51" s="84" t="s">
        <v>237</v>
      </c>
      <c r="E51" s="61"/>
      <c r="F51" s="62"/>
      <c r="G51" s="235"/>
      <c r="H51" s="74"/>
      <c r="I51" s="75"/>
      <c r="J51" s="82"/>
      <c r="K51" s="69"/>
      <c r="L51" s="19"/>
      <c r="M51" s="83"/>
      <c r="N51" s="83"/>
      <c r="O51" s="83"/>
      <c r="P51" s="264"/>
      <c r="Q51" s="74"/>
      <c r="R51" s="74"/>
      <c r="S51" s="220">
        <v>90</v>
      </c>
      <c r="T51" s="79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 t="e">
        <f>AVERAGE(U51:AC51)</f>
        <v>#DIV/0!</v>
      </c>
      <c r="AN51" s="89">
        <v>3.67</v>
      </c>
      <c r="AO51" s="127"/>
      <c r="AP51" s="76"/>
      <c r="AQ51" s="74">
        <f>AN51-(AN51-Q51)*(SIN((S51+AX51)*PI()/180))/(COS(AX51*PI()/180))</f>
        <v>0</v>
      </c>
      <c r="AR51" s="82">
        <f>H51+($M$1-M51)-(AN51-Q51)*(COS(S51*PI()/180))*(SIN((T51+13+2.3)*PI()/180))</f>
        <v>633905.21799999999</v>
      </c>
      <c r="AS51" s="82">
        <f>I51+($N$1-N51)-(AN51-Q51)*(COS(S51*PI()/180))*(COS((T51+13+2.3)*PI()/180))</f>
        <v>3049240.4240000001</v>
      </c>
      <c r="AT51" s="82">
        <f>J51+($O$1-O51)-R51+AN51-(AN51-Q51)*(SIN(S51*PI()/180))-L51</f>
        <v>56.365000000000002</v>
      </c>
      <c r="AU51" s="69"/>
      <c r="AV51" s="92"/>
      <c r="AW51" s="128">
        <f>AQ51-'Estacas Johnsons'!AQ51</f>
        <v>-9.9999999999997868E-3</v>
      </c>
      <c r="AX51" s="79"/>
    </row>
    <row r="52" spans="1:50" x14ac:dyDescent="0.6">
      <c r="A52" s="154" t="s">
        <v>216</v>
      </c>
      <c r="B52" s="105"/>
      <c r="C52" s="105"/>
      <c r="D52" s="105"/>
      <c r="E52" s="106"/>
      <c r="F52" s="107"/>
      <c r="G52" s="238"/>
      <c r="H52" s="109"/>
      <c r="I52" s="110"/>
      <c r="J52" s="111"/>
      <c r="K52" s="105"/>
      <c r="L52" s="243"/>
      <c r="M52" s="134"/>
      <c r="N52" s="134"/>
      <c r="O52" s="134"/>
      <c r="P52" s="262"/>
      <c r="Q52" s="109"/>
      <c r="R52" s="109"/>
      <c r="S52" s="115"/>
      <c r="T52" s="115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62"/>
      <c r="AO52" s="156"/>
      <c r="AP52" s="118"/>
      <c r="AQ52" s="109"/>
      <c r="AR52" s="111"/>
      <c r="AS52" s="111"/>
      <c r="AT52" s="111"/>
      <c r="AU52" s="105"/>
      <c r="AV52" s="119"/>
      <c r="AW52" s="136"/>
      <c r="AX52" s="115"/>
    </row>
    <row r="53" spans="1:50" x14ac:dyDescent="0.6">
      <c r="A53" s="163" t="s">
        <v>217</v>
      </c>
      <c r="B53" s="105"/>
      <c r="C53" s="105"/>
      <c r="D53" s="105"/>
      <c r="E53" s="106"/>
      <c r="F53" s="107"/>
      <c r="G53" s="238"/>
      <c r="H53" s="109"/>
      <c r="I53" s="110"/>
      <c r="J53" s="111"/>
      <c r="K53" s="105"/>
      <c r="L53" s="243"/>
      <c r="M53" s="134"/>
      <c r="N53" s="134"/>
      <c r="O53" s="134"/>
      <c r="P53" s="262"/>
      <c r="Q53" s="109"/>
      <c r="R53" s="109"/>
      <c r="S53" s="115"/>
      <c r="T53" s="115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62"/>
      <c r="AO53" s="156"/>
      <c r="AP53" s="118"/>
      <c r="AQ53" s="109"/>
      <c r="AR53" s="111"/>
      <c r="AS53" s="111"/>
      <c r="AT53" s="111"/>
      <c r="AU53" s="105"/>
      <c r="AV53" s="119"/>
      <c r="AW53" s="136"/>
      <c r="AX53" s="115"/>
    </row>
    <row r="54" spans="1:50" x14ac:dyDescent="0.6">
      <c r="A54" s="163" t="s">
        <v>218</v>
      </c>
      <c r="B54" s="105"/>
      <c r="C54" s="105"/>
      <c r="D54" s="105"/>
      <c r="E54" s="106"/>
      <c r="F54" s="107"/>
      <c r="G54" s="238"/>
      <c r="H54" s="109"/>
      <c r="I54" s="110"/>
      <c r="J54" s="111"/>
      <c r="K54" s="105"/>
      <c r="L54" s="243"/>
      <c r="M54" s="134"/>
      <c r="N54" s="134"/>
      <c r="O54" s="134"/>
      <c r="P54" s="262"/>
      <c r="Q54" s="109"/>
      <c r="R54" s="109"/>
      <c r="S54" s="115"/>
      <c r="T54" s="115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22"/>
      <c r="AO54" s="156"/>
      <c r="AP54" s="118"/>
      <c r="AQ54" s="109"/>
      <c r="AR54" s="111"/>
      <c r="AS54" s="111"/>
      <c r="AT54" s="111"/>
      <c r="AU54" s="105"/>
      <c r="AV54" s="119"/>
      <c r="AW54" s="136"/>
      <c r="AX54" s="115"/>
    </row>
    <row r="55" spans="1:50" x14ac:dyDescent="0.6">
      <c r="A55" s="14" t="s">
        <v>219</v>
      </c>
      <c r="B55" s="84"/>
      <c r="C55" s="84"/>
      <c r="D55" s="84" t="s">
        <v>237</v>
      </c>
      <c r="E55" s="61"/>
      <c r="F55" s="62"/>
      <c r="G55" s="235"/>
      <c r="H55" s="74"/>
      <c r="I55" s="75"/>
      <c r="J55" s="82"/>
      <c r="K55" s="69"/>
      <c r="L55" s="19"/>
      <c r="M55" s="83"/>
      <c r="N55" s="83"/>
      <c r="O55" s="83"/>
      <c r="P55" s="264"/>
      <c r="Q55" s="74"/>
      <c r="R55" s="74"/>
      <c r="S55" s="220">
        <v>90</v>
      </c>
      <c r="T55" s="79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 t="e">
        <f>AVERAGE(U55:AC55)</f>
        <v>#DIV/0!</v>
      </c>
      <c r="AN55" s="89">
        <v>3.67</v>
      </c>
      <c r="AO55" s="127"/>
      <c r="AP55" s="76"/>
      <c r="AQ55" s="74">
        <f>AN55-(AN55-Q55)*(SIN((S55+AX55)*PI()/180))/(COS(AX55*PI()/180))</f>
        <v>0</v>
      </c>
      <c r="AR55" s="82">
        <f>H55+($M$1-M55)-(AN55-Q55)*(COS(S55*PI()/180))*(SIN((T55+13+2.3)*PI()/180))</f>
        <v>633905.21799999999</v>
      </c>
      <c r="AS55" s="82">
        <f>I55+($N$1-N55)-(AN55-Q55)*(COS(S55*PI()/180))*(COS((T55+13+2.3)*PI()/180))</f>
        <v>3049240.4240000001</v>
      </c>
      <c r="AT55" s="82">
        <f>J55+($O$1-O55)-R55+AN55-(AN55-Q55)*(SIN(S55*PI()/180))-L55</f>
        <v>56.365000000000002</v>
      </c>
      <c r="AU55" s="69"/>
      <c r="AV55" s="92"/>
      <c r="AW55" s="128">
        <f>AQ55-'Estacas Johnsons'!AQ55</f>
        <v>-0.10000000000000009</v>
      </c>
      <c r="AX55" s="79"/>
    </row>
    <row r="56" spans="1:50" x14ac:dyDescent="0.6">
      <c r="A56" s="163" t="s">
        <v>220</v>
      </c>
      <c r="B56" s="105"/>
      <c r="C56" s="105"/>
      <c r="D56" s="105"/>
      <c r="E56" s="106"/>
      <c r="F56" s="107"/>
      <c r="G56" s="238"/>
      <c r="H56" s="109"/>
      <c r="I56" s="110"/>
      <c r="J56" s="111"/>
      <c r="K56" s="105"/>
      <c r="L56" s="243"/>
      <c r="M56" s="134"/>
      <c r="N56" s="134"/>
      <c r="O56" s="134"/>
      <c r="P56" s="262"/>
      <c r="Q56" s="109"/>
      <c r="R56" s="109"/>
      <c r="S56" s="115"/>
      <c r="T56" s="115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62"/>
      <c r="AO56" s="156"/>
      <c r="AP56" s="118"/>
      <c r="AQ56" s="99"/>
      <c r="AR56" s="96"/>
      <c r="AS56" s="96"/>
      <c r="AT56" s="96"/>
      <c r="AU56" s="105"/>
      <c r="AV56" s="119"/>
      <c r="AW56" s="133"/>
      <c r="AX56" s="115"/>
    </row>
    <row r="57" spans="1:50" x14ac:dyDescent="0.6">
      <c r="A57" s="164" t="s">
        <v>221</v>
      </c>
      <c r="B57" s="93"/>
      <c r="C57" s="93"/>
      <c r="D57" s="93"/>
      <c r="E57" s="94"/>
      <c r="F57" s="95"/>
      <c r="G57" s="237"/>
      <c r="H57" s="99"/>
      <c r="I57" s="101"/>
      <c r="J57" s="96"/>
      <c r="K57" s="93"/>
      <c r="L57" s="255"/>
      <c r="M57" s="131"/>
      <c r="N57" s="131"/>
      <c r="O57" s="131"/>
      <c r="P57" s="265"/>
      <c r="Q57" s="99"/>
      <c r="R57" s="99"/>
      <c r="S57" s="100"/>
      <c r="T57" s="100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2"/>
      <c r="AO57" s="169"/>
      <c r="AP57" s="103"/>
      <c r="AQ57" s="99"/>
      <c r="AR57" s="96"/>
      <c r="AS57" s="96"/>
      <c r="AT57" s="96"/>
      <c r="AU57" s="93"/>
      <c r="AV57" s="104"/>
      <c r="AW57" s="133"/>
      <c r="AX57" s="100"/>
    </row>
    <row r="58" spans="1:50" x14ac:dyDescent="0.6">
      <c r="A58" s="164" t="s">
        <v>222</v>
      </c>
      <c r="B58" s="93"/>
      <c r="C58" s="93"/>
      <c r="D58" s="93"/>
      <c r="E58" s="93"/>
      <c r="F58" s="97"/>
      <c r="G58" s="237"/>
      <c r="H58" s="99"/>
      <c r="I58" s="101"/>
      <c r="J58" s="96"/>
      <c r="K58" s="93"/>
      <c r="L58" s="255"/>
      <c r="M58" s="131"/>
      <c r="N58" s="131"/>
      <c r="O58" s="131"/>
      <c r="P58" s="265"/>
      <c r="Q58" s="99"/>
      <c r="R58" s="99"/>
      <c r="S58" s="100"/>
      <c r="T58" s="100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2"/>
      <c r="AO58" s="169"/>
      <c r="AP58" s="103"/>
      <c r="AQ58" s="99"/>
      <c r="AR58" s="96"/>
      <c r="AS58" s="96"/>
      <c r="AT58" s="96"/>
      <c r="AU58" s="93"/>
      <c r="AV58" s="104"/>
      <c r="AW58" s="133"/>
      <c r="AX58" s="100"/>
    </row>
    <row r="59" spans="1:50" x14ac:dyDescent="0.6">
      <c r="A59" s="164" t="s">
        <v>223</v>
      </c>
      <c r="B59" s="93"/>
      <c r="C59" s="93"/>
      <c r="D59" s="93"/>
      <c r="E59" s="94"/>
      <c r="F59" s="95"/>
      <c r="G59" s="237"/>
      <c r="H59" s="99"/>
      <c r="I59" s="101"/>
      <c r="J59" s="96"/>
      <c r="K59" s="93"/>
      <c r="L59" s="255"/>
      <c r="M59" s="131"/>
      <c r="N59" s="131"/>
      <c r="O59" s="131"/>
      <c r="P59" s="265"/>
      <c r="Q59" s="99"/>
      <c r="R59" s="99"/>
      <c r="S59" s="100"/>
      <c r="T59" s="100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2"/>
      <c r="AO59" s="169"/>
      <c r="AP59" s="103"/>
      <c r="AQ59" s="99"/>
      <c r="AR59" s="96"/>
      <c r="AS59" s="96"/>
      <c r="AT59" s="96"/>
      <c r="AU59" s="93"/>
      <c r="AV59" s="104"/>
      <c r="AW59" s="133"/>
      <c r="AX59" s="100"/>
    </row>
    <row r="60" spans="1:50" x14ac:dyDescent="0.6">
      <c r="A60" s="164" t="s">
        <v>224</v>
      </c>
      <c r="B60" s="93"/>
      <c r="C60" s="93"/>
      <c r="D60" s="93"/>
      <c r="E60" s="94"/>
      <c r="F60" s="95"/>
      <c r="G60" s="237"/>
      <c r="H60" s="99"/>
      <c r="I60" s="101"/>
      <c r="J60" s="96"/>
      <c r="K60" s="93"/>
      <c r="L60" s="255"/>
      <c r="M60" s="131"/>
      <c r="N60" s="131"/>
      <c r="O60" s="131"/>
      <c r="P60" s="265"/>
      <c r="Q60" s="99"/>
      <c r="R60" s="99"/>
      <c r="S60" s="100"/>
      <c r="T60" s="100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2"/>
      <c r="AO60" s="169"/>
      <c r="AP60" s="103"/>
      <c r="AQ60" s="99"/>
      <c r="AR60" s="96"/>
      <c r="AS60" s="96"/>
      <c r="AT60" s="96"/>
      <c r="AU60" s="93"/>
      <c r="AV60" s="104"/>
      <c r="AW60" s="133"/>
      <c r="AX60" s="100"/>
    </row>
    <row r="61" spans="1:50" x14ac:dyDescent="0.6">
      <c r="A61" s="207" t="s">
        <v>225</v>
      </c>
      <c r="B61" s="208"/>
      <c r="C61" s="208"/>
      <c r="D61" s="84" t="s">
        <v>237</v>
      </c>
      <c r="E61" s="207"/>
      <c r="F61" s="228"/>
      <c r="G61" s="235"/>
      <c r="H61" s="232"/>
      <c r="I61" s="209"/>
      <c r="J61" s="254"/>
      <c r="K61" s="69"/>
      <c r="L61" s="244"/>
      <c r="M61" s="208"/>
      <c r="N61" s="208"/>
      <c r="O61" s="258"/>
      <c r="P61" s="267"/>
      <c r="Q61" s="229"/>
      <c r="R61" s="206"/>
      <c r="S61" s="220">
        <v>90</v>
      </c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  <c r="AE61" s="206"/>
      <c r="AF61" s="206"/>
      <c r="AG61" s="206"/>
      <c r="AH61" s="206"/>
      <c r="AI61" s="206"/>
      <c r="AJ61" s="206"/>
      <c r="AK61" s="206"/>
      <c r="AL61" s="206"/>
      <c r="AM61" s="206" t="e">
        <f>AVERAGE(U61:AC61)</f>
        <v>#DIV/0!</v>
      </c>
      <c r="AN61" s="89">
        <v>3.67</v>
      </c>
      <c r="AO61" s="206"/>
      <c r="AP61" s="300"/>
      <c r="AQ61" s="229">
        <f>AN61-(AN61-Q61)*(SIN((S61+AX61)*PI()/180))/(COS(AX61*PI()/180))</f>
        <v>0</v>
      </c>
      <c r="AR61" s="206">
        <f>H61+($M$1-M61)-(AN61-Q61)*(COS(S61*PI()/180))*(SIN((T61+13+2.3)*PI()/180))</f>
        <v>633905.21799999999</v>
      </c>
      <c r="AS61" s="206">
        <f>I61+($N$1-N61)-(AN61-Q61)*(COS(S61*PI()/180))*(COS((T61+13+2.3)*PI()/180))</f>
        <v>3049240.4240000001</v>
      </c>
      <c r="AT61" s="206">
        <f>J61+($O$1-O61)-R61+AN61-(AN61-Q61)*(SIN(S61*PI()/180))-L61</f>
        <v>56.365000000000002</v>
      </c>
      <c r="AU61" s="222"/>
      <c r="AV61" s="208"/>
      <c r="AW61" s="224">
        <f>AQ61-'Estacas Johnsons'!AQ61</f>
        <v>-1.91</v>
      </c>
      <c r="AX61" s="206"/>
    </row>
    <row r="62" spans="1:50" x14ac:dyDescent="0.6">
      <c r="A62" s="164" t="s">
        <v>226</v>
      </c>
      <c r="B62" s="93"/>
      <c r="C62" s="93"/>
      <c r="D62" s="93"/>
      <c r="E62" s="94"/>
      <c r="F62" s="95"/>
      <c r="G62" s="237"/>
      <c r="H62" s="99"/>
      <c r="I62" s="101"/>
      <c r="J62" s="96"/>
      <c r="K62" s="93"/>
      <c r="L62" s="255"/>
      <c r="M62" s="131"/>
      <c r="N62" s="131"/>
      <c r="O62" s="131"/>
      <c r="P62" s="265"/>
      <c r="Q62" s="99"/>
      <c r="R62" s="99"/>
      <c r="S62" s="100"/>
      <c r="T62" s="100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2"/>
      <c r="AO62" s="169"/>
      <c r="AP62" s="103"/>
      <c r="AQ62" s="99"/>
      <c r="AR62" s="96"/>
      <c r="AS62" s="96"/>
      <c r="AT62" s="96"/>
      <c r="AU62" s="93"/>
      <c r="AV62" s="104"/>
      <c r="AW62" s="133"/>
      <c r="AX62" s="100"/>
    </row>
    <row r="63" spans="1:50" x14ac:dyDescent="0.6">
      <c r="A63" s="164" t="s">
        <v>227</v>
      </c>
      <c r="B63" s="93"/>
      <c r="C63" s="93"/>
      <c r="D63" s="93"/>
      <c r="E63" s="94"/>
      <c r="F63" s="95"/>
      <c r="G63" s="237"/>
      <c r="H63" s="99"/>
      <c r="I63" s="101"/>
      <c r="J63" s="96"/>
      <c r="K63" s="93"/>
      <c r="L63" s="255"/>
      <c r="M63" s="131"/>
      <c r="N63" s="131"/>
      <c r="O63" s="131"/>
      <c r="P63" s="265"/>
      <c r="Q63" s="99"/>
      <c r="R63" s="99"/>
      <c r="S63" s="100"/>
      <c r="T63" s="100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2"/>
      <c r="AO63" s="169"/>
      <c r="AP63" s="103"/>
      <c r="AQ63" s="99"/>
      <c r="AR63" s="96"/>
      <c r="AS63" s="96"/>
      <c r="AT63" s="96"/>
      <c r="AU63" s="93"/>
      <c r="AV63" s="104"/>
      <c r="AW63" s="133"/>
      <c r="AX63" s="100"/>
    </row>
    <row r="64" spans="1:50" x14ac:dyDescent="0.6">
      <c r="A64" s="207" t="s">
        <v>228</v>
      </c>
      <c r="B64" s="208"/>
      <c r="C64" s="208"/>
      <c r="D64" s="84" t="s">
        <v>237</v>
      </c>
      <c r="E64" s="217"/>
      <c r="F64" s="228"/>
      <c r="G64" s="235"/>
      <c r="H64" s="232"/>
      <c r="I64" s="209"/>
      <c r="J64" s="254"/>
      <c r="K64" s="69"/>
      <c r="L64" s="256"/>
      <c r="M64" s="208"/>
      <c r="N64" s="208"/>
      <c r="O64" s="258"/>
      <c r="P64" s="267"/>
      <c r="Q64" s="229"/>
      <c r="R64" s="206"/>
      <c r="S64" s="220">
        <v>90</v>
      </c>
      <c r="T64" s="206"/>
      <c r="U64" s="206"/>
      <c r="V64" s="206"/>
      <c r="W64" s="206"/>
      <c r="X64" s="206"/>
      <c r="Y64" s="206"/>
      <c r="Z64" s="206"/>
      <c r="AA64" s="206"/>
      <c r="AB64" s="206"/>
      <c r="AC64" s="206"/>
      <c r="AD64" s="206"/>
      <c r="AE64" s="206"/>
      <c r="AF64" s="206"/>
      <c r="AG64" s="206"/>
      <c r="AH64" s="206"/>
      <c r="AI64" s="206"/>
      <c r="AJ64" s="206"/>
      <c r="AK64" s="206"/>
      <c r="AL64" s="206"/>
      <c r="AM64" s="206" t="e">
        <f>AVERAGE(U64:AC64)</f>
        <v>#DIV/0!</v>
      </c>
      <c r="AN64" s="89">
        <v>3.67</v>
      </c>
      <c r="AO64" s="206"/>
      <c r="AP64" s="300"/>
      <c r="AQ64" s="229">
        <f>AN64-(AN64-Q64)*(SIN((S64+AX64)*PI()/180))/(COS(AX64*PI()/180))</f>
        <v>0</v>
      </c>
      <c r="AR64" s="206">
        <f>H64+($M$1-M64)-(AN64-Q64)*(COS(S64*PI()/180))*(SIN((T64+13+2.3)*PI()/180))</f>
        <v>633905.21799999999</v>
      </c>
      <c r="AS64" s="206">
        <f>I64+($N$1-N64)-(AN64-Q64)*(COS(S64*PI()/180))*(COS((T64+13+2.3)*PI()/180))</f>
        <v>3049240.4240000001</v>
      </c>
      <c r="AT64" s="206">
        <f>J64+($O$1-O64)-R64+AN64-(AN64-Q64)*(SIN(S64*PI()/180))-L64</f>
        <v>56.365000000000002</v>
      </c>
      <c r="AU64" s="222"/>
      <c r="AV64" s="208"/>
      <c r="AW64" s="224">
        <f>AQ64-'Estacas Johnsons'!AQ64</f>
        <v>-0.24000000000000021</v>
      </c>
      <c r="AX64" s="206"/>
    </row>
    <row r="65" spans="1:50" x14ac:dyDescent="0.6">
      <c r="A65" s="164" t="s">
        <v>229</v>
      </c>
      <c r="B65" s="93"/>
      <c r="C65" s="93"/>
      <c r="D65" s="93"/>
      <c r="E65" s="94"/>
      <c r="F65" s="95"/>
      <c r="G65" s="237"/>
      <c r="H65" s="99"/>
      <c r="I65" s="101"/>
      <c r="J65" s="96"/>
      <c r="K65" s="93"/>
      <c r="L65" s="255"/>
      <c r="M65" s="131"/>
      <c r="N65" s="131"/>
      <c r="O65" s="131"/>
      <c r="P65" s="265"/>
      <c r="Q65" s="99"/>
      <c r="R65" s="99"/>
      <c r="S65" s="100"/>
      <c r="T65" s="100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2"/>
      <c r="AO65" s="169"/>
      <c r="AP65" s="103"/>
      <c r="AQ65" s="99"/>
      <c r="AR65" s="96"/>
      <c r="AS65" s="96"/>
      <c r="AT65" s="96"/>
      <c r="AU65" s="93"/>
      <c r="AV65" s="104"/>
      <c r="AW65" s="133"/>
      <c r="AX65" s="100"/>
    </row>
    <row r="66" spans="1:50" x14ac:dyDescent="0.6">
      <c r="A66" s="207" t="s">
        <v>230</v>
      </c>
      <c r="B66" s="208"/>
      <c r="C66" s="208"/>
      <c r="D66" s="84" t="s">
        <v>237</v>
      </c>
      <c r="E66" s="217"/>
      <c r="F66" s="228"/>
      <c r="G66" s="235"/>
      <c r="H66" s="232"/>
      <c r="I66" s="209"/>
      <c r="J66" s="254"/>
      <c r="K66" s="69"/>
      <c r="L66" s="256"/>
      <c r="M66" s="208"/>
      <c r="N66" s="208"/>
      <c r="O66" s="258"/>
      <c r="P66" s="267"/>
      <c r="Q66" s="229"/>
      <c r="R66" s="206"/>
      <c r="S66" s="220">
        <v>90</v>
      </c>
      <c r="T66" s="206"/>
      <c r="U66" s="206"/>
      <c r="V66" s="206"/>
      <c r="W66" s="206"/>
      <c r="X66" s="206"/>
      <c r="Y66" s="206"/>
      <c r="Z66" s="206"/>
      <c r="AA66" s="206"/>
      <c r="AB66" s="206"/>
      <c r="AC66" s="206"/>
      <c r="AD66" s="206"/>
      <c r="AE66" s="206"/>
      <c r="AF66" s="206"/>
      <c r="AG66" s="206"/>
      <c r="AH66" s="206"/>
      <c r="AI66" s="206"/>
      <c r="AJ66" s="206"/>
      <c r="AK66" s="206"/>
      <c r="AL66" s="206"/>
      <c r="AM66" s="206" t="e">
        <f>AVERAGE(U66:AC66)</f>
        <v>#DIV/0!</v>
      </c>
      <c r="AN66" s="89">
        <v>3.67</v>
      </c>
      <c r="AO66" s="206"/>
      <c r="AP66" s="300"/>
      <c r="AQ66" s="229">
        <f>AN66-(AN66-Q66)*(SIN((S66+AX66)*PI()/180))/(COS(AX66*PI()/180))</f>
        <v>0</v>
      </c>
      <c r="AR66" s="206">
        <f>H66+($M$1-M66)-(AN66-Q66)*(COS(S66*PI()/180))*(SIN((T66+13+2.3)*PI()/180))</f>
        <v>633905.21799999999</v>
      </c>
      <c r="AS66" s="206">
        <f>I66+($N$1-N66)-(AN66-Q66)*(COS(S66*PI()/180))*(COS((T66+13+2.3)*PI()/180))</f>
        <v>3049240.4240000001</v>
      </c>
      <c r="AT66" s="206">
        <f>J66+($O$1-O66)-R66+AN66-(AN66-Q66)*(SIN(S66*PI()/180))-L66</f>
        <v>56.365000000000002</v>
      </c>
      <c r="AU66" s="222"/>
      <c r="AV66" s="208"/>
      <c r="AW66" s="224">
        <f>AQ66-'Estacas Johnsons'!AQ66</f>
        <v>-1.46</v>
      </c>
      <c r="AX66" s="206"/>
    </row>
    <row r="67" spans="1:50" x14ac:dyDescent="0.6">
      <c r="A67" s="207" t="s">
        <v>231</v>
      </c>
      <c r="B67" s="208"/>
      <c r="C67" s="208"/>
      <c r="D67" s="84" t="s">
        <v>237</v>
      </c>
      <c r="E67" s="217"/>
      <c r="F67" s="228"/>
      <c r="G67" s="235"/>
      <c r="H67" s="232"/>
      <c r="I67" s="209"/>
      <c r="J67" s="254"/>
      <c r="K67" s="69"/>
      <c r="L67" s="256"/>
      <c r="M67" s="208"/>
      <c r="N67" s="208"/>
      <c r="O67" s="258"/>
      <c r="P67" s="267"/>
      <c r="Q67" s="229"/>
      <c r="R67" s="206"/>
      <c r="S67" s="220">
        <v>90</v>
      </c>
      <c r="T67" s="206"/>
      <c r="U67" s="206"/>
      <c r="V67" s="206"/>
      <c r="W67" s="206"/>
      <c r="X67" s="206"/>
      <c r="Y67" s="206"/>
      <c r="Z67" s="206"/>
      <c r="AA67" s="206"/>
      <c r="AB67" s="206"/>
      <c r="AC67" s="206"/>
      <c r="AD67" s="206"/>
      <c r="AE67" s="206"/>
      <c r="AF67" s="206"/>
      <c r="AG67" s="206"/>
      <c r="AH67" s="206"/>
      <c r="AI67" s="206"/>
      <c r="AJ67" s="206"/>
      <c r="AK67" s="206"/>
      <c r="AL67" s="206"/>
      <c r="AM67" s="206" t="e">
        <f>AVERAGE(U67:AC67)</f>
        <v>#DIV/0!</v>
      </c>
      <c r="AN67" s="89">
        <v>3.67</v>
      </c>
      <c r="AO67" s="206"/>
      <c r="AP67" s="300"/>
      <c r="AQ67" s="229">
        <f>AN67-(AN67-Q67)*(SIN((S67+AX67)*PI()/180))/(COS(AX67*PI()/180))</f>
        <v>0</v>
      </c>
      <c r="AR67" s="206">
        <f>H67+($M$1-M67)-(AN67-Q67)*(COS(S67*PI()/180))*(SIN((T67+13+2.3)*PI()/180))</f>
        <v>633905.21799999999</v>
      </c>
      <c r="AS67" s="206">
        <f>I67+($N$1-N67)-(AN67-Q67)*(COS(S67*PI()/180))*(COS((T67+13+2.3)*PI()/180))</f>
        <v>3049240.4240000001</v>
      </c>
      <c r="AT67" s="206">
        <f>J67+($O$1-O67)-R67+AN67-(AN67-Q67)*(SIN(S67*PI()/180))-L67</f>
        <v>56.365000000000002</v>
      </c>
      <c r="AU67" s="222"/>
      <c r="AV67" s="208"/>
      <c r="AW67" s="224">
        <f>AQ67-'Estacas Johnsons'!AQ67</f>
        <v>-1.21</v>
      </c>
      <c r="AX67" s="206"/>
    </row>
    <row r="68" spans="1:50" x14ac:dyDescent="0.6">
      <c r="A68" s="164" t="s">
        <v>232</v>
      </c>
      <c r="B68" s="93"/>
      <c r="C68" s="93"/>
      <c r="D68" s="93"/>
      <c r="E68" s="94"/>
      <c r="F68" s="95"/>
      <c r="G68" s="237"/>
      <c r="H68" s="99"/>
      <c r="I68" s="101"/>
      <c r="J68" s="96"/>
      <c r="K68" s="93"/>
      <c r="L68" s="255"/>
      <c r="M68" s="131"/>
      <c r="N68" s="131"/>
      <c r="O68" s="131"/>
      <c r="P68" s="265"/>
      <c r="Q68" s="99"/>
      <c r="R68" s="99"/>
      <c r="S68" s="100"/>
      <c r="T68" s="100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2"/>
      <c r="AO68" s="169"/>
      <c r="AP68" s="103"/>
      <c r="AQ68" s="99"/>
      <c r="AR68" s="96"/>
      <c r="AS68" s="96"/>
      <c r="AT68" s="96"/>
      <c r="AU68" s="93"/>
      <c r="AV68" s="104"/>
      <c r="AW68" s="133"/>
      <c r="AX68" s="100"/>
    </row>
    <row r="69" spans="1:50" x14ac:dyDescent="0.6">
      <c r="A69" s="164" t="s">
        <v>233</v>
      </c>
      <c r="B69" s="93"/>
      <c r="C69" s="93"/>
      <c r="D69" s="93"/>
      <c r="E69" s="94"/>
      <c r="F69" s="95"/>
      <c r="G69" s="237"/>
      <c r="H69" s="99"/>
      <c r="I69" s="101"/>
      <c r="J69" s="96"/>
      <c r="K69" s="93"/>
      <c r="L69" s="255"/>
      <c r="M69" s="131"/>
      <c r="N69" s="131"/>
      <c r="O69" s="131"/>
      <c r="P69" s="265"/>
      <c r="Q69" s="99"/>
      <c r="R69" s="99"/>
      <c r="S69" s="100"/>
      <c r="T69" s="100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2"/>
      <c r="AO69" s="169"/>
      <c r="AP69" s="103"/>
      <c r="AQ69" s="99"/>
      <c r="AR69" s="96"/>
      <c r="AS69" s="96"/>
      <c r="AT69" s="96"/>
      <c r="AU69" s="93"/>
      <c r="AV69" s="104"/>
      <c r="AW69" s="133"/>
      <c r="AX69" s="100"/>
    </row>
    <row r="70" spans="1:50" x14ac:dyDescent="0.6">
      <c r="A70" s="208" t="s">
        <v>234</v>
      </c>
      <c r="B70" s="208"/>
      <c r="C70" s="208"/>
      <c r="D70" s="84" t="s">
        <v>237</v>
      </c>
      <c r="E70" s="217"/>
      <c r="F70" s="228"/>
      <c r="G70" s="235"/>
      <c r="H70" s="232"/>
      <c r="I70" s="209"/>
      <c r="J70" s="254"/>
      <c r="K70" s="69"/>
      <c r="L70" s="256"/>
      <c r="M70" s="208"/>
      <c r="N70" s="208"/>
      <c r="O70" s="258"/>
      <c r="P70" s="267"/>
      <c r="Q70" s="229"/>
      <c r="R70" s="206"/>
      <c r="S70" s="220">
        <v>90</v>
      </c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206"/>
      <c r="AE70" s="206"/>
      <c r="AF70" s="206"/>
      <c r="AG70" s="206"/>
      <c r="AH70" s="206"/>
      <c r="AI70" s="206"/>
      <c r="AJ70" s="206"/>
      <c r="AK70" s="206"/>
      <c r="AL70" s="206"/>
      <c r="AM70" s="206" t="e">
        <f>AVERAGE(U70:AC70)</f>
        <v>#DIV/0!</v>
      </c>
      <c r="AN70" s="89">
        <v>3.67</v>
      </c>
      <c r="AO70" s="206"/>
      <c r="AP70" s="300"/>
      <c r="AQ70" s="229">
        <f>AN70-(AN70-Q70)*(SIN((S70+AX70)*PI()/180))/(COS(AX70*PI()/180))</f>
        <v>0</v>
      </c>
      <c r="AR70" s="206">
        <f>H70+($M$1-M70)-(AN70-Q70)*(COS(S70*PI()/180))*(SIN((T70+13+2.3)*PI()/180))</f>
        <v>633905.21799999999</v>
      </c>
      <c r="AS70" s="206">
        <f>I70+($N$1-N70)-(AN70-Q70)*(COS(S70*PI()/180))*(COS((T70+13+2.3)*PI()/180))</f>
        <v>3049240.4240000001</v>
      </c>
      <c r="AT70" s="206">
        <f>J70+($O$1-O70)-R70+AN70-(AN70-Q70)*(SIN(S70*PI()/180))-L70</f>
        <v>56.365000000000002</v>
      </c>
      <c r="AU70" s="222"/>
      <c r="AV70" s="208"/>
      <c r="AW70" s="224">
        <f>AQ70-'Estacas Johnsons'!AQ70</f>
        <v>1.1475040714365292</v>
      </c>
      <c r="AX70" s="206"/>
    </row>
    <row r="71" spans="1:50" ht="11.7" customHeight="1" x14ac:dyDescent="0.6">
      <c r="A71" s="208" t="s">
        <v>235</v>
      </c>
      <c r="B71" s="208"/>
      <c r="C71" s="208"/>
      <c r="D71" s="84" t="s">
        <v>237</v>
      </c>
      <c r="E71" s="217"/>
      <c r="F71" s="228"/>
      <c r="G71" s="235"/>
      <c r="H71" s="232"/>
      <c r="I71" s="209"/>
      <c r="J71" s="254"/>
      <c r="K71" s="69"/>
      <c r="L71" s="256"/>
      <c r="M71" s="208"/>
      <c r="N71" s="208"/>
      <c r="O71" s="258"/>
      <c r="P71" s="267"/>
      <c r="Q71" s="229"/>
      <c r="R71" s="206"/>
      <c r="S71" s="220">
        <v>90</v>
      </c>
      <c r="T71" s="206"/>
      <c r="U71" s="206"/>
      <c r="V71" s="206"/>
      <c r="W71" s="206"/>
      <c r="X71" s="206"/>
      <c r="Y71" s="206"/>
      <c r="Z71" s="206"/>
      <c r="AA71" s="206"/>
      <c r="AB71" s="206"/>
      <c r="AC71" s="206"/>
      <c r="AD71" s="206"/>
      <c r="AE71" s="206"/>
      <c r="AF71" s="206"/>
      <c r="AG71" s="206"/>
      <c r="AH71" s="206"/>
      <c r="AI71" s="206"/>
      <c r="AJ71" s="206"/>
      <c r="AK71" s="206"/>
      <c r="AL71" s="206"/>
      <c r="AM71" s="206" t="e">
        <f>AVERAGE(U71:AC71)</f>
        <v>#DIV/0!</v>
      </c>
      <c r="AN71" s="89">
        <v>3.67</v>
      </c>
      <c r="AO71" s="206"/>
      <c r="AP71" s="300"/>
      <c r="AQ71" s="229">
        <f>AN71-(AN71-Q71)*(SIN((S71+AX71)*PI()/180))/(COS(AX71*PI()/180))</f>
        <v>0</v>
      </c>
      <c r="AR71" s="206">
        <f>H71+($M$1-M71)-(AN71-Q71)*(COS(S71*PI()/180))*(SIN((T71+13+2.3)*PI()/180))</f>
        <v>633905.21799999999</v>
      </c>
      <c r="AS71" s="206">
        <f>I71+($N$1-N71)-(AN71-Q71)*(COS(S71*PI()/180))*(COS((T71+13+2.3)*PI()/180))</f>
        <v>3049240.4240000001</v>
      </c>
      <c r="AT71" s="206">
        <f>J71+($O$1-O71)-R71+AN71-(AN71-Q71)*(SIN(S71*PI()/180))-L71</f>
        <v>56.365000000000002</v>
      </c>
      <c r="AU71" s="222"/>
      <c r="AV71" s="208"/>
      <c r="AW71" s="224">
        <f>AQ71-'Estacas Johnsons'!AQ71</f>
        <v>0</v>
      </c>
      <c r="AX71" s="206"/>
    </row>
    <row r="72" spans="1:50" x14ac:dyDescent="0.6">
      <c r="A72" s="164" t="s">
        <v>236</v>
      </c>
      <c r="B72" s="93"/>
      <c r="C72" s="93"/>
      <c r="D72" s="93"/>
      <c r="E72" s="94"/>
      <c r="F72" s="95"/>
      <c r="G72" s="237"/>
      <c r="H72" s="99"/>
      <c r="I72" s="101"/>
      <c r="J72" s="96"/>
      <c r="K72" s="93"/>
      <c r="L72" s="255"/>
      <c r="M72" s="131"/>
      <c r="N72" s="131"/>
      <c r="O72" s="131"/>
      <c r="P72" s="265"/>
      <c r="Q72" s="99"/>
      <c r="R72" s="99"/>
      <c r="S72" s="100"/>
      <c r="T72" s="100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2"/>
      <c r="AO72" s="169"/>
      <c r="AP72" s="103"/>
      <c r="AQ72" s="99"/>
      <c r="AR72" s="96"/>
      <c r="AS72" s="96"/>
      <c r="AT72" s="96"/>
      <c r="AU72" s="93"/>
      <c r="AV72" s="104"/>
      <c r="AW72" s="133"/>
      <c r="AX72" s="100"/>
    </row>
    <row r="73" spans="1:50" x14ac:dyDescent="0.6">
      <c r="A73" s="208" t="s">
        <v>263</v>
      </c>
      <c r="B73" s="208"/>
      <c r="C73" s="208"/>
      <c r="D73" s="84" t="s">
        <v>237</v>
      </c>
      <c r="E73" s="217"/>
      <c r="F73" s="228"/>
      <c r="G73" s="235"/>
      <c r="H73" s="232"/>
      <c r="I73" s="209"/>
      <c r="J73" s="254"/>
      <c r="K73" s="69"/>
      <c r="L73" s="256"/>
      <c r="M73" s="208"/>
      <c r="N73" s="208"/>
      <c r="O73" s="258"/>
      <c r="P73" s="267"/>
      <c r="Q73" s="229"/>
      <c r="R73" s="206"/>
      <c r="S73" s="220">
        <v>90</v>
      </c>
      <c r="T73" s="206"/>
      <c r="U73" s="206"/>
      <c r="V73" s="206"/>
      <c r="W73" s="206"/>
      <c r="X73" s="206"/>
      <c r="Y73" s="206"/>
      <c r="Z73" s="206"/>
      <c r="AA73" s="206"/>
      <c r="AB73" s="206"/>
      <c r="AC73" s="206"/>
      <c r="AD73" s="206"/>
      <c r="AE73" s="206"/>
      <c r="AF73" s="206"/>
      <c r="AG73" s="206"/>
      <c r="AH73" s="206"/>
      <c r="AI73" s="206"/>
      <c r="AJ73" s="206"/>
      <c r="AK73" s="206"/>
      <c r="AL73" s="206"/>
      <c r="AM73" s="206" t="e">
        <f t="shared" ref="AM73:AM78" si="0">AVERAGE(U73:AC73)</f>
        <v>#DIV/0!</v>
      </c>
      <c r="AN73" s="89">
        <v>3.67</v>
      </c>
      <c r="AO73" s="206"/>
      <c r="AP73" s="300"/>
      <c r="AQ73" s="229">
        <f t="shared" ref="AQ73:AQ78" si="1">AN73-(AN73-Q73)*(SIN((S73+AX73)*PI()/180))/(COS(AX73*PI()/180))</f>
        <v>0</v>
      </c>
      <c r="AR73" s="206">
        <f t="shared" ref="AR73:AR78" si="2">H73+($M$1-M73)-(AN73-Q73)*(COS(S73*PI()/180))*(SIN((T73+13+2.3)*PI()/180))</f>
        <v>633905.21799999999</v>
      </c>
      <c r="AS73" s="206">
        <f t="shared" ref="AS73:AS78" si="3">I73+($N$1-N73)-(AN73-Q73)*(COS(S73*PI()/180))*(COS((T73+13+2.3)*PI()/180))</f>
        <v>3049240.4240000001</v>
      </c>
      <c r="AT73" s="206">
        <f t="shared" ref="AT73:AT78" si="4">J73+($O$1-O73)-R73+AN73-(AN73-Q73)*(SIN(S73*PI()/180))-L73</f>
        <v>56.365000000000002</v>
      </c>
      <c r="AU73" s="222"/>
      <c r="AV73" s="208"/>
      <c r="AW73" s="224">
        <f>AQ73-'Estacas Johnsons'!AQ73</f>
        <v>-0.18000000000000016</v>
      </c>
      <c r="AX73" s="206"/>
    </row>
    <row r="74" spans="1:50" x14ac:dyDescent="0.6">
      <c r="A74" s="208" t="s">
        <v>264</v>
      </c>
      <c r="B74" s="208"/>
      <c r="C74" s="208"/>
      <c r="D74" s="84" t="s">
        <v>237</v>
      </c>
      <c r="E74" s="217"/>
      <c r="F74" s="228"/>
      <c r="G74" s="235"/>
      <c r="H74" s="232"/>
      <c r="I74" s="209"/>
      <c r="J74" s="254"/>
      <c r="K74" s="69"/>
      <c r="L74" s="256"/>
      <c r="M74" s="208"/>
      <c r="N74" s="208"/>
      <c r="O74" s="258"/>
      <c r="P74" s="267"/>
      <c r="Q74" s="229"/>
      <c r="R74" s="206"/>
      <c r="S74" s="220">
        <v>90</v>
      </c>
      <c r="T74" s="206"/>
      <c r="U74" s="206"/>
      <c r="V74" s="206"/>
      <c r="W74" s="206"/>
      <c r="X74" s="206"/>
      <c r="Y74" s="206"/>
      <c r="Z74" s="206"/>
      <c r="AA74" s="206"/>
      <c r="AB74" s="206"/>
      <c r="AC74" s="206"/>
      <c r="AD74" s="206"/>
      <c r="AE74" s="206"/>
      <c r="AF74" s="206"/>
      <c r="AG74" s="206"/>
      <c r="AH74" s="206"/>
      <c r="AI74" s="206"/>
      <c r="AJ74" s="206"/>
      <c r="AK74" s="206"/>
      <c r="AL74" s="206"/>
      <c r="AM74" s="206" t="e">
        <f t="shared" si="0"/>
        <v>#DIV/0!</v>
      </c>
      <c r="AN74" s="89">
        <v>3.67</v>
      </c>
      <c r="AO74" s="206"/>
      <c r="AP74" s="300"/>
      <c r="AQ74" s="229">
        <f t="shared" si="1"/>
        <v>0</v>
      </c>
      <c r="AR74" s="206">
        <f t="shared" si="2"/>
        <v>633905.21799999999</v>
      </c>
      <c r="AS74" s="206">
        <f t="shared" si="3"/>
        <v>3049240.4240000001</v>
      </c>
      <c r="AT74" s="206">
        <f t="shared" si="4"/>
        <v>56.365000000000002</v>
      </c>
      <c r="AU74" s="222"/>
      <c r="AV74" s="208"/>
      <c r="AW74" s="224">
        <f>AQ74-'Estacas Johnsons'!AQ74</f>
        <v>-6.0000000000000053E-2</v>
      </c>
      <c r="AX74" s="206"/>
    </row>
    <row r="75" spans="1:50" x14ac:dyDescent="0.6">
      <c r="A75" s="208" t="s">
        <v>265</v>
      </c>
      <c r="B75" s="208"/>
      <c r="C75" s="208"/>
      <c r="D75" s="84" t="s">
        <v>237</v>
      </c>
      <c r="E75" s="217"/>
      <c r="F75" s="228"/>
      <c r="G75" s="235"/>
      <c r="H75" s="232"/>
      <c r="I75" s="209"/>
      <c r="J75" s="254"/>
      <c r="K75" s="69"/>
      <c r="L75" s="256"/>
      <c r="M75" s="208"/>
      <c r="N75" s="208"/>
      <c r="O75" s="258"/>
      <c r="P75" s="267"/>
      <c r="Q75" s="229"/>
      <c r="R75" s="206"/>
      <c r="S75" s="220">
        <v>90</v>
      </c>
      <c r="T75" s="206"/>
      <c r="U75" s="206"/>
      <c r="V75" s="206"/>
      <c r="W75" s="206"/>
      <c r="X75" s="206"/>
      <c r="Y75" s="206"/>
      <c r="Z75" s="206"/>
      <c r="AA75" s="206"/>
      <c r="AB75" s="206"/>
      <c r="AC75" s="206"/>
      <c r="AD75" s="206"/>
      <c r="AE75" s="206"/>
      <c r="AF75" s="206"/>
      <c r="AG75" s="206"/>
      <c r="AH75" s="206"/>
      <c r="AI75" s="206"/>
      <c r="AJ75" s="206"/>
      <c r="AK75" s="206"/>
      <c r="AL75" s="206"/>
      <c r="AM75" s="206" t="e">
        <f t="shared" si="0"/>
        <v>#DIV/0!</v>
      </c>
      <c r="AN75" s="89">
        <v>3.67</v>
      </c>
      <c r="AO75" s="206"/>
      <c r="AP75" s="300"/>
      <c r="AQ75" s="229">
        <f t="shared" si="1"/>
        <v>0</v>
      </c>
      <c r="AR75" s="206">
        <f t="shared" si="2"/>
        <v>633905.21799999999</v>
      </c>
      <c r="AS75" s="206">
        <f t="shared" si="3"/>
        <v>3049240.4240000001</v>
      </c>
      <c r="AT75" s="206">
        <f t="shared" si="4"/>
        <v>56.365000000000002</v>
      </c>
      <c r="AU75" s="222"/>
      <c r="AV75" s="208"/>
      <c r="AW75" s="224">
        <f>AQ75-'Estacas Johnsons'!AQ75</f>
        <v>6.999999999999984E-2</v>
      </c>
      <c r="AX75" s="206"/>
    </row>
    <row r="76" spans="1:50" x14ac:dyDescent="0.6">
      <c r="A76" s="208" t="s">
        <v>266</v>
      </c>
      <c r="B76" s="208"/>
      <c r="C76" s="208"/>
      <c r="D76" s="84" t="s">
        <v>237</v>
      </c>
      <c r="E76" s="217"/>
      <c r="F76" s="228"/>
      <c r="G76" s="235"/>
      <c r="H76" s="232"/>
      <c r="I76" s="209"/>
      <c r="J76" s="254"/>
      <c r="K76" s="69"/>
      <c r="L76" s="256"/>
      <c r="M76" s="208"/>
      <c r="N76" s="208"/>
      <c r="O76" s="258"/>
      <c r="P76" s="267"/>
      <c r="Q76" s="229"/>
      <c r="R76" s="206"/>
      <c r="S76" s="220">
        <v>90</v>
      </c>
      <c r="T76" s="206"/>
      <c r="U76" s="206"/>
      <c r="V76" s="206"/>
      <c r="W76" s="206"/>
      <c r="X76" s="206"/>
      <c r="Y76" s="206"/>
      <c r="Z76" s="206"/>
      <c r="AA76" s="206"/>
      <c r="AB76" s="206"/>
      <c r="AC76" s="206"/>
      <c r="AD76" s="206"/>
      <c r="AE76" s="206"/>
      <c r="AF76" s="206"/>
      <c r="AG76" s="206"/>
      <c r="AH76" s="206"/>
      <c r="AI76" s="206"/>
      <c r="AJ76" s="206"/>
      <c r="AK76" s="206"/>
      <c r="AL76" s="206"/>
      <c r="AM76" s="206" t="e">
        <f t="shared" si="0"/>
        <v>#DIV/0!</v>
      </c>
      <c r="AN76" s="89">
        <v>3.67</v>
      </c>
      <c r="AO76" s="206"/>
      <c r="AP76" s="300"/>
      <c r="AQ76" s="229">
        <f t="shared" si="1"/>
        <v>0</v>
      </c>
      <c r="AR76" s="206">
        <f t="shared" si="2"/>
        <v>633905.21799999999</v>
      </c>
      <c r="AS76" s="206">
        <f t="shared" si="3"/>
        <v>3049240.4240000001</v>
      </c>
      <c r="AT76" s="206">
        <f t="shared" si="4"/>
        <v>56.365000000000002</v>
      </c>
      <c r="AU76" s="222"/>
      <c r="AV76" s="208"/>
      <c r="AW76" s="224">
        <f>AQ76-'Estacas Johnsons'!AQ76</f>
        <v>0.20000000000000018</v>
      </c>
      <c r="AX76" s="206"/>
    </row>
    <row r="77" spans="1:50" x14ac:dyDescent="0.6">
      <c r="A77" s="208" t="s">
        <v>274</v>
      </c>
      <c r="B77" s="208"/>
      <c r="C77" s="208"/>
      <c r="D77" s="84" t="s">
        <v>237</v>
      </c>
      <c r="E77" s="217"/>
      <c r="F77" s="228"/>
      <c r="G77" s="235"/>
      <c r="H77" s="232"/>
      <c r="I77" s="209"/>
      <c r="J77" s="254"/>
      <c r="K77" s="69"/>
      <c r="L77" s="256"/>
      <c r="M77" s="208"/>
      <c r="N77" s="208"/>
      <c r="O77" s="258"/>
      <c r="P77" s="267"/>
      <c r="Q77" s="229"/>
      <c r="R77" s="206"/>
      <c r="S77" s="220">
        <v>90</v>
      </c>
      <c r="T77" s="206"/>
      <c r="U77" s="206"/>
      <c r="V77" s="206"/>
      <c r="W77" s="206"/>
      <c r="X77" s="206"/>
      <c r="Y77" s="206"/>
      <c r="Z77" s="206"/>
      <c r="AA77" s="206"/>
      <c r="AB77" s="206"/>
      <c r="AC77" s="206"/>
      <c r="AD77" s="206"/>
      <c r="AE77" s="206"/>
      <c r="AF77" s="206"/>
      <c r="AG77" s="206"/>
      <c r="AH77" s="206"/>
      <c r="AI77" s="206"/>
      <c r="AJ77" s="206"/>
      <c r="AK77" s="206"/>
      <c r="AL77" s="206"/>
      <c r="AM77" s="206" t="e">
        <f t="shared" si="0"/>
        <v>#DIV/0!</v>
      </c>
      <c r="AN77" s="89">
        <v>3.67</v>
      </c>
      <c r="AO77" s="206"/>
      <c r="AP77" s="300"/>
      <c r="AQ77" s="229">
        <f t="shared" si="1"/>
        <v>0</v>
      </c>
      <c r="AR77" s="206">
        <f t="shared" si="2"/>
        <v>633905.21799999999</v>
      </c>
      <c r="AS77" s="206">
        <f t="shared" si="3"/>
        <v>3049240.4240000001</v>
      </c>
      <c r="AT77" s="206">
        <f t="shared" si="4"/>
        <v>56.365000000000002</v>
      </c>
      <c r="AU77" s="222"/>
      <c r="AV77" s="208"/>
      <c r="AW77" s="224">
        <f>AQ77-'Estacas Johnsons'!AQ77</f>
        <v>-8.9999999999999858E-2</v>
      </c>
      <c r="AX77" s="206"/>
    </row>
    <row r="78" spans="1:50" x14ac:dyDescent="0.6">
      <c r="A78" s="208" t="s">
        <v>275</v>
      </c>
      <c r="B78" s="208"/>
      <c r="C78" s="208"/>
      <c r="D78" s="84" t="s">
        <v>237</v>
      </c>
      <c r="E78" s="217"/>
      <c r="F78" s="228"/>
      <c r="G78" s="235"/>
      <c r="H78" s="232"/>
      <c r="I78" s="209"/>
      <c r="J78" s="254"/>
      <c r="K78" s="69"/>
      <c r="L78" s="256"/>
      <c r="M78" s="208"/>
      <c r="N78" s="208"/>
      <c r="O78" s="258"/>
      <c r="P78" s="267"/>
      <c r="Q78" s="229"/>
      <c r="R78" s="206"/>
      <c r="S78" s="220">
        <v>90</v>
      </c>
      <c r="T78" s="206"/>
      <c r="U78" s="206"/>
      <c r="V78" s="206"/>
      <c r="W78" s="206"/>
      <c r="X78" s="206"/>
      <c r="Y78" s="206"/>
      <c r="Z78" s="206"/>
      <c r="AA78" s="206"/>
      <c r="AB78" s="206"/>
      <c r="AC78" s="206"/>
      <c r="AD78" s="206"/>
      <c r="AE78" s="206"/>
      <c r="AF78" s="206"/>
      <c r="AG78" s="206"/>
      <c r="AH78" s="206"/>
      <c r="AI78" s="206"/>
      <c r="AJ78" s="206"/>
      <c r="AK78" s="206"/>
      <c r="AL78" s="206"/>
      <c r="AM78" s="206" t="e">
        <f t="shared" si="0"/>
        <v>#DIV/0!</v>
      </c>
      <c r="AN78" s="89">
        <v>3.67</v>
      </c>
      <c r="AO78" s="206"/>
      <c r="AP78" s="300"/>
      <c r="AQ78" s="229">
        <f t="shared" si="1"/>
        <v>0</v>
      </c>
      <c r="AR78" s="206">
        <f t="shared" si="2"/>
        <v>633905.21799999999</v>
      </c>
      <c r="AS78" s="206">
        <f t="shared" si="3"/>
        <v>3049240.4240000001</v>
      </c>
      <c r="AT78" s="206">
        <f t="shared" si="4"/>
        <v>56.365000000000002</v>
      </c>
      <c r="AU78" s="222"/>
      <c r="AV78" s="208"/>
      <c r="AW78" s="224">
        <f>AQ78-'Estacas Johnsons'!AQ78</f>
        <v>-0.41000000000000014</v>
      </c>
      <c r="AX78" s="206"/>
    </row>
  </sheetData>
  <sheetProtection selectLockedCells="1" selectUnlockedCells="1"/>
  <phoneticPr fontId="22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23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" sqref="D1"/>
    </sheetView>
  </sheetViews>
  <sheetFormatPr baseColWidth="10" defaultColWidth="11.2265625" defaultRowHeight="13" x14ac:dyDescent="0.6"/>
  <cols>
    <col min="1" max="3" width="9.453125" style="14" customWidth="1"/>
    <col min="4" max="4" width="14.54296875" style="173" customWidth="1"/>
    <col min="5" max="5" width="12" style="15" customWidth="1"/>
    <col min="6" max="6" width="12" style="16" customWidth="1"/>
    <col min="7" max="7" width="12" style="17" customWidth="1"/>
    <col min="8" max="9" width="6.54296875" style="17" customWidth="1"/>
    <col min="10" max="10" width="12" style="17" customWidth="1"/>
    <col min="11" max="12" width="12" style="14" customWidth="1"/>
    <col min="13" max="13" width="30.54296875" style="14" customWidth="1"/>
    <col min="14" max="15" width="12" style="14" customWidth="1"/>
    <col min="16" max="16" width="12" style="18" customWidth="1"/>
    <col min="17" max="16384" width="11.2265625" style="18"/>
  </cols>
  <sheetData>
    <row r="1" spans="1:16" s="34" customFormat="1" x14ac:dyDescent="0.6">
      <c r="A1" s="20" t="s">
        <v>42</v>
      </c>
      <c r="B1" s="174" t="s">
        <v>269</v>
      </c>
      <c r="C1" s="175" t="s">
        <v>43</v>
      </c>
      <c r="D1" s="176" t="s">
        <v>267</v>
      </c>
      <c r="E1" s="23" t="s">
        <v>44</v>
      </c>
      <c r="F1" s="24" t="s">
        <v>268</v>
      </c>
      <c r="G1" s="25" t="s">
        <v>46</v>
      </c>
      <c r="H1" s="123" t="s">
        <v>47</v>
      </c>
      <c r="I1" s="27"/>
      <c r="J1" s="26"/>
      <c r="K1" s="325" t="s">
        <v>238</v>
      </c>
      <c r="L1" s="325"/>
      <c r="M1" s="325"/>
      <c r="N1" s="325"/>
      <c r="O1" s="325"/>
      <c r="P1" s="325"/>
    </row>
    <row r="2" spans="1:16" ht="16" x14ac:dyDescent="0.9">
      <c r="A2" s="36" t="s">
        <v>239</v>
      </c>
      <c r="B2" s="38" t="s">
        <v>50</v>
      </c>
      <c r="C2" s="37" t="s">
        <v>51</v>
      </c>
      <c r="D2" s="177" t="s">
        <v>55</v>
      </c>
      <c r="E2" s="42" t="s">
        <v>1</v>
      </c>
      <c r="F2" s="43" t="s">
        <v>3</v>
      </c>
      <c r="G2" s="43" t="s">
        <v>5</v>
      </c>
      <c r="H2" s="43" t="s">
        <v>56</v>
      </c>
      <c r="I2" s="44" t="s">
        <v>57</v>
      </c>
      <c r="J2" s="45" t="s">
        <v>11</v>
      </c>
      <c r="K2" s="45" t="s">
        <v>58</v>
      </c>
      <c r="L2" s="45" t="s">
        <v>15</v>
      </c>
      <c r="M2" s="46" t="s">
        <v>59</v>
      </c>
      <c r="N2" s="59" t="s">
        <v>69</v>
      </c>
      <c r="O2" s="60" t="s">
        <v>70</v>
      </c>
      <c r="P2" s="60" t="s">
        <v>71</v>
      </c>
    </row>
    <row r="3" spans="1:16" x14ac:dyDescent="0.6">
      <c r="B3" s="178" t="s">
        <v>74</v>
      </c>
      <c r="C3" s="129" t="s">
        <v>75</v>
      </c>
      <c r="D3" s="179"/>
      <c r="E3" s="62" t="s">
        <v>78</v>
      </c>
      <c r="F3" s="62" t="s">
        <v>79</v>
      </c>
      <c r="G3" s="62" t="s">
        <v>80</v>
      </c>
      <c r="H3" s="69"/>
      <c r="I3" s="70"/>
      <c r="J3" s="71" t="s">
        <v>81</v>
      </c>
      <c r="K3" s="67" t="s">
        <v>82</v>
      </c>
      <c r="L3" s="68" t="s">
        <v>83</v>
      </c>
      <c r="M3" s="72"/>
      <c r="N3" s="77" t="s">
        <v>78</v>
      </c>
      <c r="O3" s="67" t="s">
        <v>79</v>
      </c>
      <c r="P3" s="68" t="s">
        <v>80</v>
      </c>
    </row>
    <row r="4" spans="1:16" x14ac:dyDescent="0.6">
      <c r="A4" s="69"/>
      <c r="B4" s="70"/>
      <c r="C4" s="69"/>
      <c r="D4" s="180"/>
      <c r="E4" s="68"/>
      <c r="F4" s="81"/>
      <c r="G4" s="68"/>
      <c r="H4" s="69"/>
      <c r="I4" s="70"/>
      <c r="J4" s="70"/>
      <c r="K4" s="70"/>
      <c r="L4" s="70"/>
      <c r="M4" s="72"/>
      <c r="N4" s="83"/>
      <c r="O4" s="81"/>
      <c r="P4" s="81"/>
    </row>
    <row r="5" spans="1:16" x14ac:dyDescent="0.6">
      <c r="A5" s="84"/>
      <c r="B5" s="70"/>
      <c r="C5" s="69"/>
      <c r="D5" s="68"/>
      <c r="E5" s="74"/>
      <c r="F5" s="75"/>
      <c r="G5" s="75"/>
      <c r="H5" s="69"/>
      <c r="I5" s="181"/>
      <c r="J5" s="82"/>
      <c r="K5" s="82"/>
      <c r="L5" s="82"/>
      <c r="M5" s="76"/>
      <c r="N5" s="74">
        <f t="shared" ref="N5:N23" si="0">E5</f>
        <v>0</v>
      </c>
      <c r="O5" s="75">
        <f t="shared" ref="O5:O23" si="1">F5</f>
        <v>0</v>
      </c>
      <c r="P5" s="75">
        <f t="shared" ref="P5:P23" si="2">G5-I5</f>
        <v>0</v>
      </c>
    </row>
    <row r="6" spans="1:16" x14ac:dyDescent="0.6">
      <c r="A6" s="84"/>
      <c r="B6" s="70"/>
      <c r="C6" s="69"/>
      <c r="D6" s="68"/>
      <c r="E6" s="74"/>
      <c r="F6" s="75"/>
      <c r="G6" s="75"/>
      <c r="H6" s="69"/>
      <c r="I6" s="181"/>
      <c r="J6" s="82"/>
      <c r="K6" s="82"/>
      <c r="L6" s="82"/>
      <c r="M6" s="76"/>
      <c r="N6" s="74">
        <f t="shared" si="0"/>
        <v>0</v>
      </c>
      <c r="O6" s="75">
        <f t="shared" si="1"/>
        <v>0</v>
      </c>
      <c r="P6" s="75">
        <f t="shared" si="2"/>
        <v>0</v>
      </c>
    </row>
    <row r="7" spans="1:16" x14ac:dyDescent="0.6">
      <c r="A7" s="84"/>
      <c r="B7" s="70"/>
      <c r="C7" s="69"/>
      <c r="D7" s="68"/>
      <c r="E7" s="74"/>
      <c r="F7" s="75"/>
      <c r="G7" s="75"/>
      <c r="H7" s="69"/>
      <c r="I7" s="181"/>
      <c r="J7" s="82"/>
      <c r="K7" s="82"/>
      <c r="L7" s="82"/>
      <c r="M7" s="76"/>
      <c r="N7" s="74">
        <f t="shared" si="0"/>
        <v>0</v>
      </c>
      <c r="O7" s="75">
        <f t="shared" si="1"/>
        <v>0</v>
      </c>
      <c r="P7" s="75">
        <f t="shared" si="2"/>
        <v>0</v>
      </c>
    </row>
    <row r="8" spans="1:16" x14ac:dyDescent="0.6">
      <c r="A8"/>
      <c r="B8" s="70"/>
      <c r="C8" s="69"/>
      <c r="D8" s="68"/>
      <c r="E8" s="74"/>
      <c r="F8" s="75"/>
      <c r="G8" s="75"/>
      <c r="H8" s="69"/>
      <c r="I8" s="181"/>
      <c r="J8" s="82"/>
      <c r="K8" s="82"/>
      <c r="L8" s="82"/>
      <c r="M8" s="76"/>
      <c r="N8" s="74">
        <f t="shared" si="0"/>
        <v>0</v>
      </c>
      <c r="O8" s="75">
        <f t="shared" si="1"/>
        <v>0</v>
      </c>
      <c r="P8" s="75">
        <f t="shared" si="2"/>
        <v>0</v>
      </c>
    </row>
    <row r="9" spans="1:16" x14ac:dyDescent="0.6">
      <c r="A9" s="84"/>
      <c r="B9" s="70"/>
      <c r="C9" s="69"/>
      <c r="D9" s="68"/>
      <c r="E9" s="74"/>
      <c r="F9" s="75"/>
      <c r="G9" s="75"/>
      <c r="H9" s="69"/>
      <c r="I9" s="181"/>
      <c r="J9" s="82"/>
      <c r="K9" s="82"/>
      <c r="L9" s="82"/>
      <c r="M9" s="76"/>
      <c r="N9" s="74">
        <f t="shared" si="0"/>
        <v>0</v>
      </c>
      <c r="O9" s="75">
        <f t="shared" si="1"/>
        <v>0</v>
      </c>
      <c r="P9" s="75">
        <f t="shared" si="2"/>
        <v>0</v>
      </c>
    </row>
    <row r="10" spans="1:16" x14ac:dyDescent="0.6">
      <c r="A10" s="84"/>
      <c r="B10" s="70"/>
      <c r="C10" s="69"/>
      <c r="D10" s="68"/>
      <c r="E10" s="74"/>
      <c r="F10" s="75"/>
      <c r="G10" s="75"/>
      <c r="H10" s="69"/>
      <c r="I10" s="181"/>
      <c r="J10" s="82"/>
      <c r="K10" s="82"/>
      <c r="L10" s="82"/>
      <c r="M10" s="76"/>
      <c r="N10" s="74">
        <f t="shared" si="0"/>
        <v>0</v>
      </c>
      <c r="O10" s="75">
        <f t="shared" si="1"/>
        <v>0</v>
      </c>
      <c r="P10" s="75">
        <f t="shared" si="2"/>
        <v>0</v>
      </c>
    </row>
    <row r="11" spans="1:16" x14ac:dyDescent="0.6">
      <c r="A11" s="84"/>
      <c r="B11" s="70"/>
      <c r="C11" s="69"/>
      <c r="D11" s="68"/>
      <c r="E11" s="74"/>
      <c r="F11" s="75"/>
      <c r="G11" s="75"/>
      <c r="H11" s="69"/>
      <c r="I11" s="181"/>
      <c r="J11" s="82"/>
      <c r="K11" s="82"/>
      <c r="L11" s="82"/>
      <c r="M11" s="76"/>
      <c r="N11" s="74">
        <f t="shared" si="0"/>
        <v>0</v>
      </c>
      <c r="O11" s="75">
        <f t="shared" si="1"/>
        <v>0</v>
      </c>
      <c r="P11" s="75">
        <f t="shared" si="2"/>
        <v>0</v>
      </c>
    </row>
    <row r="12" spans="1:16" x14ac:dyDescent="0.6">
      <c r="A12" s="84"/>
      <c r="B12" s="70"/>
      <c r="C12" s="69"/>
      <c r="D12" s="68"/>
      <c r="E12" s="74"/>
      <c r="F12" s="75"/>
      <c r="G12" s="75"/>
      <c r="H12" s="69"/>
      <c r="I12" s="181"/>
      <c r="J12" s="82"/>
      <c r="K12" s="82"/>
      <c r="L12" s="82"/>
      <c r="M12" s="76"/>
      <c r="N12" s="74">
        <f t="shared" si="0"/>
        <v>0</v>
      </c>
      <c r="O12" s="75">
        <f t="shared" si="1"/>
        <v>0</v>
      </c>
      <c r="P12" s="75">
        <f t="shared" si="2"/>
        <v>0</v>
      </c>
    </row>
    <row r="13" spans="1:16" x14ac:dyDescent="0.6">
      <c r="A13" s="84"/>
      <c r="B13" s="70"/>
      <c r="C13" s="69"/>
      <c r="D13" s="68"/>
      <c r="E13" s="74"/>
      <c r="F13" s="75"/>
      <c r="G13" s="75"/>
      <c r="H13" s="69"/>
      <c r="I13" s="181"/>
      <c r="J13" s="82"/>
      <c r="K13" s="82"/>
      <c r="L13" s="82"/>
      <c r="M13" s="76"/>
      <c r="N13" s="74">
        <f t="shared" si="0"/>
        <v>0</v>
      </c>
      <c r="O13" s="75">
        <f t="shared" si="1"/>
        <v>0</v>
      </c>
      <c r="P13" s="75">
        <f t="shared" si="2"/>
        <v>0</v>
      </c>
    </row>
    <row r="14" spans="1:16" x14ac:dyDescent="0.6">
      <c r="A14" s="84"/>
      <c r="B14" s="70"/>
      <c r="C14" s="69"/>
      <c r="D14" s="68"/>
      <c r="E14" s="74"/>
      <c r="F14" s="75"/>
      <c r="G14" s="75"/>
      <c r="H14" s="69"/>
      <c r="I14" s="181"/>
      <c r="J14" s="82"/>
      <c r="K14" s="82"/>
      <c r="L14" s="82"/>
      <c r="M14" s="76"/>
      <c r="N14" s="74">
        <f t="shared" si="0"/>
        <v>0</v>
      </c>
      <c r="O14" s="75">
        <f t="shared" si="1"/>
        <v>0</v>
      </c>
      <c r="P14" s="75">
        <f t="shared" si="2"/>
        <v>0</v>
      </c>
    </row>
    <row r="15" spans="1:16" x14ac:dyDescent="0.6">
      <c r="A15" s="84"/>
      <c r="B15" s="70"/>
      <c r="C15" s="69"/>
      <c r="D15" s="68"/>
      <c r="E15" s="74"/>
      <c r="F15" s="75"/>
      <c r="G15" s="75"/>
      <c r="H15" s="69"/>
      <c r="I15" s="181"/>
      <c r="J15" s="82"/>
      <c r="K15" s="82"/>
      <c r="L15" s="82"/>
      <c r="M15" s="76"/>
      <c r="N15" s="74">
        <f t="shared" si="0"/>
        <v>0</v>
      </c>
      <c r="O15" s="75">
        <f t="shared" si="1"/>
        <v>0</v>
      </c>
      <c r="P15" s="75">
        <f t="shared" si="2"/>
        <v>0</v>
      </c>
    </row>
    <row r="16" spans="1:16" ht="12.45" customHeight="1" x14ac:dyDescent="0.6">
      <c r="A16" s="84"/>
      <c r="B16" s="70"/>
      <c r="C16" s="69"/>
      <c r="D16" s="68"/>
      <c r="E16" s="74"/>
      <c r="F16" s="75"/>
      <c r="G16" s="75"/>
      <c r="H16" s="69"/>
      <c r="I16" s="181"/>
      <c r="J16" s="82"/>
      <c r="K16" s="82"/>
      <c r="L16" s="82"/>
      <c r="M16" s="76"/>
      <c r="N16" s="74">
        <f t="shared" si="0"/>
        <v>0</v>
      </c>
      <c r="O16" s="75">
        <f t="shared" si="1"/>
        <v>0</v>
      </c>
      <c r="P16" s="75">
        <f t="shared" si="2"/>
        <v>0</v>
      </c>
    </row>
    <row r="17" spans="1:16" x14ac:dyDescent="0.6">
      <c r="A17" s="84"/>
      <c r="B17" s="70"/>
      <c r="C17" s="69"/>
      <c r="D17" s="68"/>
      <c r="E17" s="74"/>
      <c r="F17" s="75"/>
      <c r="G17" s="75"/>
      <c r="H17" s="69"/>
      <c r="I17" s="181"/>
      <c r="J17" s="82"/>
      <c r="K17" s="82"/>
      <c r="L17" s="82"/>
      <c r="M17" s="76"/>
      <c r="N17" s="74">
        <f t="shared" si="0"/>
        <v>0</v>
      </c>
      <c r="O17" s="75">
        <f t="shared" si="1"/>
        <v>0</v>
      </c>
      <c r="P17" s="75">
        <f t="shared" si="2"/>
        <v>0</v>
      </c>
    </row>
    <row r="18" spans="1:16" x14ac:dyDescent="0.6">
      <c r="A18" s="84"/>
      <c r="B18" s="70"/>
      <c r="C18" s="69"/>
      <c r="D18" s="68"/>
      <c r="E18" s="74"/>
      <c r="F18" s="75"/>
      <c r="G18" s="75"/>
      <c r="H18" s="69"/>
      <c r="I18" s="181"/>
      <c r="J18" s="82"/>
      <c r="K18" s="82"/>
      <c r="L18" s="82"/>
      <c r="M18" s="76"/>
      <c r="N18" s="74">
        <f t="shared" si="0"/>
        <v>0</v>
      </c>
      <c r="O18" s="75">
        <f t="shared" si="1"/>
        <v>0</v>
      </c>
      <c r="P18" s="75">
        <f t="shared" si="2"/>
        <v>0</v>
      </c>
    </row>
    <row r="19" spans="1:16" x14ac:dyDescent="0.6">
      <c r="A19" s="84"/>
      <c r="B19" s="70"/>
      <c r="C19" s="69"/>
      <c r="D19" s="68"/>
      <c r="E19" s="74"/>
      <c r="F19" s="75"/>
      <c r="G19" s="75"/>
      <c r="H19" s="69"/>
      <c r="I19" s="181"/>
      <c r="J19" s="82"/>
      <c r="K19" s="82"/>
      <c r="L19" s="82"/>
      <c r="M19" s="76"/>
      <c r="N19" s="74">
        <f t="shared" si="0"/>
        <v>0</v>
      </c>
      <c r="O19" s="75">
        <f t="shared" si="1"/>
        <v>0</v>
      </c>
      <c r="P19" s="75">
        <f t="shared" si="2"/>
        <v>0</v>
      </c>
    </row>
    <row r="20" spans="1:16" x14ac:dyDescent="0.6">
      <c r="A20" s="84"/>
      <c r="B20" s="70"/>
      <c r="C20" s="69"/>
      <c r="D20" s="68"/>
      <c r="E20" s="74"/>
      <c r="F20" s="75"/>
      <c r="G20" s="75"/>
      <c r="H20" s="69"/>
      <c r="I20" s="181"/>
      <c r="J20" s="82"/>
      <c r="K20" s="82"/>
      <c r="L20" s="82"/>
      <c r="M20" s="76"/>
      <c r="N20" s="74">
        <f t="shared" si="0"/>
        <v>0</v>
      </c>
      <c r="O20" s="75">
        <f t="shared" si="1"/>
        <v>0</v>
      </c>
      <c r="P20" s="75">
        <f t="shared" si="2"/>
        <v>0</v>
      </c>
    </row>
    <row r="21" spans="1:16" x14ac:dyDescent="0.6">
      <c r="A21" s="165"/>
      <c r="B21" s="70"/>
      <c r="C21" s="69"/>
      <c r="D21" s="68"/>
      <c r="E21" s="74"/>
      <c r="F21" s="75"/>
      <c r="G21" s="75"/>
      <c r="H21" s="69"/>
      <c r="I21" s="181"/>
      <c r="J21" s="82"/>
      <c r="K21" s="82"/>
      <c r="L21" s="82"/>
      <c r="M21" s="76"/>
      <c r="N21" s="74">
        <f t="shared" si="0"/>
        <v>0</v>
      </c>
      <c r="O21" s="75">
        <f t="shared" si="1"/>
        <v>0</v>
      </c>
      <c r="P21" s="75">
        <f t="shared" si="2"/>
        <v>0</v>
      </c>
    </row>
    <row r="22" spans="1:16" x14ac:dyDescent="0.6">
      <c r="B22" s="70"/>
      <c r="C22" s="69"/>
      <c r="D22" s="68"/>
      <c r="E22" s="74"/>
      <c r="F22" s="75"/>
      <c r="G22" s="75"/>
      <c r="H22" s="69"/>
      <c r="I22" s="181"/>
      <c r="J22" s="82"/>
      <c r="K22" s="82"/>
      <c r="L22" s="82"/>
      <c r="M22" s="76"/>
      <c r="N22" s="74">
        <f t="shared" si="0"/>
        <v>0</v>
      </c>
      <c r="O22" s="75">
        <f t="shared" si="1"/>
        <v>0</v>
      </c>
      <c r="P22" s="75">
        <f t="shared" si="2"/>
        <v>0</v>
      </c>
    </row>
    <row r="23" spans="1:16" x14ac:dyDescent="0.6">
      <c r="B23" s="70"/>
      <c r="C23" s="69"/>
      <c r="D23" s="68"/>
      <c r="E23" s="74"/>
      <c r="F23" s="75"/>
      <c r="G23" s="75"/>
      <c r="H23" s="69"/>
      <c r="I23" s="181"/>
      <c r="J23" s="82"/>
      <c r="K23" s="82"/>
      <c r="L23" s="82"/>
      <c r="M23" s="76"/>
      <c r="N23" s="74">
        <f t="shared" si="0"/>
        <v>0</v>
      </c>
      <c r="O23" s="75">
        <f t="shared" si="1"/>
        <v>0</v>
      </c>
      <c r="P23" s="75">
        <f t="shared" si="2"/>
        <v>0</v>
      </c>
    </row>
  </sheetData>
  <sheetProtection selectLockedCells="1" selectUnlockedCells="1"/>
  <mergeCells count="1">
    <mergeCell ref="K1:P1"/>
  </mergeCells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/>
  <headerFooter alignWithMargins="0">
    <oddFooter>&amp;C&amp;A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zoomScale="80" zoomScaleNormal="80" workbookViewId="0"/>
  </sheetViews>
  <sheetFormatPr baseColWidth="10" defaultColWidth="10.76953125" defaultRowHeight="13" x14ac:dyDescent="0.6"/>
  <sheetData>
    <row r="1" spans="1:14" ht="16" x14ac:dyDescent="0.9">
      <c r="A1" s="36" t="s">
        <v>49</v>
      </c>
      <c r="B1" s="43" t="s">
        <v>240</v>
      </c>
      <c r="C1" s="43" t="s">
        <v>241</v>
      </c>
      <c r="D1" s="43" t="s">
        <v>242</v>
      </c>
      <c r="E1" s="49" t="s">
        <v>22</v>
      </c>
      <c r="F1" s="50" t="s">
        <v>24</v>
      </c>
      <c r="G1" s="56" t="s">
        <v>243</v>
      </c>
      <c r="H1" s="56" t="s">
        <v>244</v>
      </c>
      <c r="I1" s="50" t="s">
        <v>26</v>
      </c>
      <c r="J1" s="182" t="s">
        <v>60</v>
      </c>
      <c r="K1" s="182" t="s">
        <v>245</v>
      </c>
      <c r="L1" s="183" t="s">
        <v>1</v>
      </c>
      <c r="M1" s="183" t="s">
        <v>3</v>
      </c>
      <c r="N1" s="183" t="s">
        <v>5</v>
      </c>
    </row>
    <row r="2" spans="1:14" x14ac:dyDescent="0.6">
      <c r="B2" s="184"/>
      <c r="C2" s="185"/>
      <c r="D2" s="185"/>
      <c r="J2" s="186" t="e">
        <f t="shared" ref="J2:J25" si="0">G2*COS(I2*PI()/180)/SIN((E2+I2)*PI()/180)</f>
        <v>#DIV/0!</v>
      </c>
      <c r="K2" s="186">
        <f t="shared" ref="K2:K25" si="1">H2</f>
        <v>0</v>
      </c>
      <c r="L2" s="186" t="e">
        <f t="shared" ref="L2:L25" si="2">B2-(J2*COS(E2*PI()/180))*SIN((F2-13)*PI()/180)</f>
        <v>#DIV/0!</v>
      </c>
      <c r="M2" s="186" t="e">
        <f t="shared" ref="M2:M25" si="3">C2-(J2*COS(E2*PI()/180))*COS((F2-13)*PI()/180)</f>
        <v>#DIV/0!</v>
      </c>
      <c r="N2" s="186" t="e">
        <f t="shared" ref="N2:N25" si="4">D2+G2*COS(E2*PI()/180)*SIN(I2*PI()/180)/SIN((E2+I2)*PI()/180)</f>
        <v>#DIV/0!</v>
      </c>
    </row>
    <row r="3" spans="1:14" x14ac:dyDescent="0.6">
      <c r="J3" s="186" t="e">
        <f t="shared" si="0"/>
        <v>#DIV/0!</v>
      </c>
      <c r="K3" s="186">
        <f t="shared" si="1"/>
        <v>0</v>
      </c>
      <c r="L3" s="186" t="e">
        <f t="shared" si="2"/>
        <v>#DIV/0!</v>
      </c>
      <c r="M3" s="186" t="e">
        <f t="shared" si="3"/>
        <v>#DIV/0!</v>
      </c>
      <c r="N3" s="186" t="e">
        <f t="shared" si="4"/>
        <v>#DIV/0!</v>
      </c>
    </row>
    <row r="4" spans="1:14" x14ac:dyDescent="0.6">
      <c r="J4" s="186" t="e">
        <f t="shared" si="0"/>
        <v>#DIV/0!</v>
      </c>
      <c r="K4" s="186">
        <f t="shared" si="1"/>
        <v>0</v>
      </c>
      <c r="L4" s="186" t="e">
        <f t="shared" si="2"/>
        <v>#DIV/0!</v>
      </c>
      <c r="M4" s="186" t="e">
        <f t="shared" si="3"/>
        <v>#DIV/0!</v>
      </c>
      <c r="N4" s="186" t="e">
        <f t="shared" si="4"/>
        <v>#DIV/0!</v>
      </c>
    </row>
    <row r="5" spans="1:14" x14ac:dyDescent="0.6">
      <c r="J5" s="186" t="e">
        <f t="shared" si="0"/>
        <v>#DIV/0!</v>
      </c>
      <c r="K5" s="186">
        <f t="shared" si="1"/>
        <v>0</v>
      </c>
      <c r="L5" s="186" t="e">
        <f t="shared" si="2"/>
        <v>#DIV/0!</v>
      </c>
      <c r="M5" s="186" t="e">
        <f t="shared" si="3"/>
        <v>#DIV/0!</v>
      </c>
      <c r="N5" s="186" t="e">
        <f t="shared" si="4"/>
        <v>#DIV/0!</v>
      </c>
    </row>
    <row r="6" spans="1:14" x14ac:dyDescent="0.6">
      <c r="J6" s="186" t="e">
        <f t="shared" si="0"/>
        <v>#DIV/0!</v>
      </c>
      <c r="K6" s="186">
        <f t="shared" si="1"/>
        <v>0</v>
      </c>
      <c r="L6" s="186" t="e">
        <f t="shared" si="2"/>
        <v>#DIV/0!</v>
      </c>
      <c r="M6" s="186" t="e">
        <f t="shared" si="3"/>
        <v>#DIV/0!</v>
      </c>
      <c r="N6" s="186" t="e">
        <f t="shared" si="4"/>
        <v>#DIV/0!</v>
      </c>
    </row>
    <row r="7" spans="1:14" x14ac:dyDescent="0.6">
      <c r="J7" s="186" t="e">
        <f t="shared" si="0"/>
        <v>#DIV/0!</v>
      </c>
      <c r="K7" s="186">
        <f t="shared" si="1"/>
        <v>0</v>
      </c>
      <c r="L7" s="186" t="e">
        <f t="shared" si="2"/>
        <v>#DIV/0!</v>
      </c>
      <c r="M7" s="186" t="e">
        <f t="shared" si="3"/>
        <v>#DIV/0!</v>
      </c>
      <c r="N7" s="186" t="e">
        <f t="shared" si="4"/>
        <v>#DIV/0!</v>
      </c>
    </row>
    <row r="8" spans="1:14" x14ac:dyDescent="0.6">
      <c r="J8" s="186" t="e">
        <f t="shared" si="0"/>
        <v>#DIV/0!</v>
      </c>
      <c r="K8" s="186">
        <f t="shared" si="1"/>
        <v>0</v>
      </c>
      <c r="L8" s="186" t="e">
        <f t="shared" si="2"/>
        <v>#DIV/0!</v>
      </c>
      <c r="M8" s="186" t="e">
        <f t="shared" si="3"/>
        <v>#DIV/0!</v>
      </c>
      <c r="N8" s="186" t="e">
        <f t="shared" si="4"/>
        <v>#DIV/0!</v>
      </c>
    </row>
    <row r="9" spans="1:14" x14ac:dyDescent="0.6">
      <c r="J9" s="186" t="e">
        <f t="shared" si="0"/>
        <v>#DIV/0!</v>
      </c>
      <c r="K9" s="186">
        <f t="shared" si="1"/>
        <v>0</v>
      </c>
      <c r="L9" s="186" t="e">
        <f t="shared" si="2"/>
        <v>#DIV/0!</v>
      </c>
      <c r="M9" s="186" t="e">
        <f t="shared" si="3"/>
        <v>#DIV/0!</v>
      </c>
      <c r="N9" s="186" t="e">
        <f t="shared" si="4"/>
        <v>#DIV/0!</v>
      </c>
    </row>
    <row r="10" spans="1:14" x14ac:dyDescent="0.6">
      <c r="J10" s="186" t="e">
        <f t="shared" si="0"/>
        <v>#DIV/0!</v>
      </c>
      <c r="K10" s="186">
        <f t="shared" si="1"/>
        <v>0</v>
      </c>
      <c r="L10" s="186" t="e">
        <f t="shared" si="2"/>
        <v>#DIV/0!</v>
      </c>
      <c r="M10" s="186" t="e">
        <f t="shared" si="3"/>
        <v>#DIV/0!</v>
      </c>
      <c r="N10" s="186" t="e">
        <f t="shared" si="4"/>
        <v>#DIV/0!</v>
      </c>
    </row>
    <row r="11" spans="1:14" x14ac:dyDescent="0.6">
      <c r="J11" s="186" t="e">
        <f t="shared" si="0"/>
        <v>#DIV/0!</v>
      </c>
      <c r="K11" s="186">
        <f t="shared" si="1"/>
        <v>0</v>
      </c>
      <c r="L11" s="186" t="e">
        <f t="shared" si="2"/>
        <v>#DIV/0!</v>
      </c>
      <c r="M11" s="186" t="e">
        <f t="shared" si="3"/>
        <v>#DIV/0!</v>
      </c>
      <c r="N11" s="186" t="e">
        <f t="shared" si="4"/>
        <v>#DIV/0!</v>
      </c>
    </row>
    <row r="12" spans="1:14" x14ac:dyDescent="0.6">
      <c r="J12" s="186" t="e">
        <f t="shared" si="0"/>
        <v>#DIV/0!</v>
      </c>
      <c r="K12" s="186">
        <f t="shared" si="1"/>
        <v>0</v>
      </c>
      <c r="L12" s="186" t="e">
        <f t="shared" si="2"/>
        <v>#DIV/0!</v>
      </c>
      <c r="M12" s="186" t="e">
        <f t="shared" si="3"/>
        <v>#DIV/0!</v>
      </c>
      <c r="N12" s="186" t="e">
        <f t="shared" si="4"/>
        <v>#DIV/0!</v>
      </c>
    </row>
    <row r="13" spans="1:14" x14ac:dyDescent="0.6">
      <c r="J13" s="186" t="e">
        <f t="shared" si="0"/>
        <v>#DIV/0!</v>
      </c>
      <c r="K13" s="186">
        <f t="shared" si="1"/>
        <v>0</v>
      </c>
      <c r="L13" s="186" t="e">
        <f t="shared" si="2"/>
        <v>#DIV/0!</v>
      </c>
      <c r="M13" s="186" t="e">
        <f t="shared" si="3"/>
        <v>#DIV/0!</v>
      </c>
      <c r="N13" s="186" t="e">
        <f t="shared" si="4"/>
        <v>#DIV/0!</v>
      </c>
    </row>
    <row r="14" spans="1:14" x14ac:dyDescent="0.6">
      <c r="J14" s="186" t="e">
        <f t="shared" si="0"/>
        <v>#DIV/0!</v>
      </c>
      <c r="K14" s="186">
        <f t="shared" si="1"/>
        <v>0</v>
      </c>
      <c r="L14" s="186" t="e">
        <f t="shared" si="2"/>
        <v>#DIV/0!</v>
      </c>
      <c r="M14" s="186" t="e">
        <f t="shared" si="3"/>
        <v>#DIV/0!</v>
      </c>
      <c r="N14" s="186" t="e">
        <f t="shared" si="4"/>
        <v>#DIV/0!</v>
      </c>
    </row>
    <row r="15" spans="1:14" x14ac:dyDescent="0.6">
      <c r="J15" s="186" t="e">
        <f t="shared" si="0"/>
        <v>#DIV/0!</v>
      </c>
      <c r="K15" s="186">
        <f t="shared" si="1"/>
        <v>0</v>
      </c>
      <c r="L15" s="186" t="e">
        <f t="shared" si="2"/>
        <v>#DIV/0!</v>
      </c>
      <c r="M15" s="186" t="e">
        <f t="shared" si="3"/>
        <v>#DIV/0!</v>
      </c>
      <c r="N15" s="186" t="e">
        <f t="shared" si="4"/>
        <v>#DIV/0!</v>
      </c>
    </row>
    <row r="16" spans="1:14" x14ac:dyDescent="0.6">
      <c r="J16" s="186" t="e">
        <f t="shared" si="0"/>
        <v>#DIV/0!</v>
      </c>
      <c r="K16" s="186">
        <f t="shared" si="1"/>
        <v>0</v>
      </c>
      <c r="L16" s="186" t="e">
        <f t="shared" si="2"/>
        <v>#DIV/0!</v>
      </c>
      <c r="M16" s="186" t="e">
        <f t="shared" si="3"/>
        <v>#DIV/0!</v>
      </c>
      <c r="N16" s="186" t="e">
        <f t="shared" si="4"/>
        <v>#DIV/0!</v>
      </c>
    </row>
    <row r="17" spans="10:14" x14ac:dyDescent="0.6">
      <c r="J17" s="186" t="e">
        <f t="shared" si="0"/>
        <v>#DIV/0!</v>
      </c>
      <c r="K17" s="186">
        <f t="shared" si="1"/>
        <v>0</v>
      </c>
      <c r="L17" s="186" t="e">
        <f t="shared" si="2"/>
        <v>#DIV/0!</v>
      </c>
      <c r="M17" s="186" t="e">
        <f t="shared" si="3"/>
        <v>#DIV/0!</v>
      </c>
      <c r="N17" s="186" t="e">
        <f t="shared" si="4"/>
        <v>#DIV/0!</v>
      </c>
    </row>
    <row r="18" spans="10:14" x14ac:dyDescent="0.6">
      <c r="J18" s="186" t="e">
        <f t="shared" si="0"/>
        <v>#DIV/0!</v>
      </c>
      <c r="K18" s="186">
        <f t="shared" si="1"/>
        <v>0</v>
      </c>
      <c r="L18" s="186" t="e">
        <f t="shared" si="2"/>
        <v>#DIV/0!</v>
      </c>
      <c r="M18" s="186" t="e">
        <f t="shared" si="3"/>
        <v>#DIV/0!</v>
      </c>
      <c r="N18" s="186" t="e">
        <f t="shared" si="4"/>
        <v>#DIV/0!</v>
      </c>
    </row>
    <row r="19" spans="10:14" x14ac:dyDescent="0.6">
      <c r="J19" s="186" t="e">
        <f t="shared" si="0"/>
        <v>#DIV/0!</v>
      </c>
      <c r="K19" s="186">
        <f t="shared" si="1"/>
        <v>0</v>
      </c>
      <c r="L19" s="186" t="e">
        <f t="shared" si="2"/>
        <v>#DIV/0!</v>
      </c>
      <c r="M19" s="186" t="e">
        <f t="shared" si="3"/>
        <v>#DIV/0!</v>
      </c>
      <c r="N19" s="186" t="e">
        <f t="shared" si="4"/>
        <v>#DIV/0!</v>
      </c>
    </row>
    <row r="20" spans="10:14" x14ac:dyDescent="0.6">
      <c r="J20" s="186" t="e">
        <f t="shared" si="0"/>
        <v>#DIV/0!</v>
      </c>
      <c r="K20" s="186">
        <f t="shared" si="1"/>
        <v>0</v>
      </c>
      <c r="L20" s="186" t="e">
        <f t="shared" si="2"/>
        <v>#DIV/0!</v>
      </c>
      <c r="M20" s="186" t="e">
        <f t="shared" si="3"/>
        <v>#DIV/0!</v>
      </c>
      <c r="N20" s="186" t="e">
        <f t="shared" si="4"/>
        <v>#DIV/0!</v>
      </c>
    </row>
    <row r="21" spans="10:14" x14ac:dyDescent="0.6">
      <c r="J21" s="186" t="e">
        <f t="shared" si="0"/>
        <v>#DIV/0!</v>
      </c>
      <c r="K21" s="186">
        <f t="shared" si="1"/>
        <v>0</v>
      </c>
      <c r="L21" s="186" t="e">
        <f t="shared" si="2"/>
        <v>#DIV/0!</v>
      </c>
      <c r="M21" s="186" t="e">
        <f t="shared" si="3"/>
        <v>#DIV/0!</v>
      </c>
      <c r="N21" s="186" t="e">
        <f t="shared" si="4"/>
        <v>#DIV/0!</v>
      </c>
    </row>
    <row r="22" spans="10:14" x14ac:dyDescent="0.6">
      <c r="J22" s="186" t="e">
        <f t="shared" si="0"/>
        <v>#DIV/0!</v>
      </c>
      <c r="K22" s="186">
        <f t="shared" si="1"/>
        <v>0</v>
      </c>
      <c r="L22" s="186" t="e">
        <f t="shared" si="2"/>
        <v>#DIV/0!</v>
      </c>
      <c r="M22" s="186" t="e">
        <f t="shared" si="3"/>
        <v>#DIV/0!</v>
      </c>
      <c r="N22" s="186" t="e">
        <f t="shared" si="4"/>
        <v>#DIV/0!</v>
      </c>
    </row>
    <row r="23" spans="10:14" x14ac:dyDescent="0.6">
      <c r="J23" s="186" t="e">
        <f t="shared" si="0"/>
        <v>#DIV/0!</v>
      </c>
      <c r="K23" s="186">
        <f t="shared" si="1"/>
        <v>0</v>
      </c>
      <c r="L23" s="186" t="e">
        <f t="shared" si="2"/>
        <v>#DIV/0!</v>
      </c>
      <c r="M23" s="186" t="e">
        <f t="shared" si="3"/>
        <v>#DIV/0!</v>
      </c>
      <c r="N23" s="186" t="e">
        <f t="shared" si="4"/>
        <v>#DIV/0!</v>
      </c>
    </row>
    <row r="24" spans="10:14" x14ac:dyDescent="0.6">
      <c r="J24" s="186" t="e">
        <f t="shared" si="0"/>
        <v>#DIV/0!</v>
      </c>
      <c r="K24" s="186">
        <f t="shared" si="1"/>
        <v>0</v>
      </c>
      <c r="L24" s="186" t="e">
        <f t="shared" si="2"/>
        <v>#DIV/0!</v>
      </c>
      <c r="M24" s="186" t="e">
        <f t="shared" si="3"/>
        <v>#DIV/0!</v>
      </c>
      <c r="N24" s="186" t="e">
        <f t="shared" si="4"/>
        <v>#DIV/0!</v>
      </c>
    </row>
    <row r="25" spans="10:14" x14ac:dyDescent="0.6">
      <c r="J25" s="186" t="e">
        <f t="shared" si="0"/>
        <v>#DIV/0!</v>
      </c>
      <c r="K25" s="186">
        <f t="shared" si="1"/>
        <v>0</v>
      </c>
      <c r="L25" s="186" t="e">
        <f t="shared" si="2"/>
        <v>#DIV/0!</v>
      </c>
      <c r="M25" s="186" t="e">
        <f t="shared" si="3"/>
        <v>#DIV/0!</v>
      </c>
      <c r="N25" s="186" t="e">
        <f t="shared" si="4"/>
        <v>#DIV/0!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zoomScale="80" zoomScaleNormal="80" workbookViewId="0">
      <selection activeCell="L6" activeCellId="1" sqref="H47:J47 L6"/>
    </sheetView>
  </sheetViews>
  <sheetFormatPr baseColWidth="10" defaultColWidth="11.2265625" defaultRowHeight="25" x14ac:dyDescent="1"/>
  <cols>
    <col min="1" max="7" width="12.54296875" style="187" customWidth="1"/>
    <col min="8" max="8" width="30.54296875" style="187" customWidth="1"/>
    <col min="9" max="9" width="11.54296875" style="187" customWidth="1"/>
    <col min="10" max="10" width="30.54296875" style="187" customWidth="1"/>
    <col min="11" max="16384" width="11.2265625" style="187"/>
  </cols>
  <sheetData>
    <row r="1" spans="1:10" ht="25.2" customHeight="1" x14ac:dyDescent="1">
      <c r="A1" s="326" t="s">
        <v>246</v>
      </c>
      <c r="B1" s="326"/>
      <c r="C1" s="326"/>
      <c r="D1" s="326"/>
      <c r="E1" s="326"/>
      <c r="F1" s="326"/>
      <c r="G1" s="326"/>
      <c r="H1" s="326"/>
      <c r="I1" s="326"/>
      <c r="J1" s="326"/>
    </row>
    <row r="2" spans="1:10" ht="25.2" customHeight="1" x14ac:dyDescent="1">
      <c r="A2" s="327" t="s">
        <v>247</v>
      </c>
      <c r="B2" s="327"/>
      <c r="C2" s="327"/>
      <c r="D2" s="327"/>
      <c r="E2" s="328" t="s">
        <v>248</v>
      </c>
      <c r="F2" s="328"/>
      <c r="G2" s="328" t="s">
        <v>249</v>
      </c>
      <c r="H2" s="328"/>
      <c r="I2" s="328" t="s">
        <v>250</v>
      </c>
      <c r="J2" s="328"/>
    </row>
    <row r="3" spans="1:10" s="194" customFormat="1" ht="54" customHeight="1" x14ac:dyDescent="0.6">
      <c r="A3" s="188" t="s">
        <v>251</v>
      </c>
      <c r="B3" s="189" t="s">
        <v>252</v>
      </c>
      <c r="C3" s="190" t="s">
        <v>253</v>
      </c>
      <c r="D3" s="190" t="s">
        <v>254</v>
      </c>
      <c r="E3" s="190" t="s">
        <v>255</v>
      </c>
      <c r="F3" s="191" t="s">
        <v>256</v>
      </c>
      <c r="G3" s="192" t="s">
        <v>257</v>
      </c>
      <c r="H3" s="190" t="s">
        <v>258</v>
      </c>
      <c r="I3" s="190" t="s">
        <v>259</v>
      </c>
      <c r="J3" s="193" t="s">
        <v>260</v>
      </c>
    </row>
    <row r="4" spans="1:10" ht="44.75" x14ac:dyDescent="1.75">
      <c r="A4" s="195"/>
      <c r="B4" s="195"/>
      <c r="C4" s="195"/>
      <c r="D4" s="195"/>
      <c r="E4" s="195"/>
      <c r="F4" s="195"/>
      <c r="G4" s="195"/>
      <c r="H4" s="195"/>
      <c r="I4" s="195"/>
      <c r="J4" s="195"/>
    </row>
    <row r="5" spans="1:10" ht="44.75" x14ac:dyDescent="1.75">
      <c r="A5" s="196"/>
      <c r="B5" s="196"/>
      <c r="C5" s="196"/>
      <c r="D5" s="196"/>
      <c r="E5" s="196"/>
      <c r="F5" s="196"/>
      <c r="G5" s="196"/>
      <c r="H5" s="196"/>
      <c r="I5" s="196"/>
      <c r="J5" s="196"/>
    </row>
    <row r="6" spans="1:10" ht="44.75" x14ac:dyDescent="1.75">
      <c r="A6" s="196"/>
      <c r="B6" s="196"/>
      <c r="C6" s="196"/>
      <c r="D6" s="196"/>
      <c r="E6" s="196"/>
      <c r="F6" s="196"/>
      <c r="G6" s="196"/>
      <c r="H6" s="196"/>
      <c r="I6" s="196"/>
      <c r="J6" s="196"/>
    </row>
    <row r="7" spans="1:10" ht="44.75" x14ac:dyDescent="1.75">
      <c r="A7" s="196"/>
      <c r="B7" s="196"/>
      <c r="C7" s="196"/>
      <c r="D7" s="196"/>
      <c r="E7" s="196"/>
      <c r="F7" s="196"/>
      <c r="G7" s="196"/>
      <c r="H7" s="196"/>
      <c r="I7" s="196"/>
      <c r="J7" s="196"/>
    </row>
    <row r="8" spans="1:10" ht="44.75" x14ac:dyDescent="1.75">
      <c r="A8" s="196"/>
      <c r="B8" s="196"/>
      <c r="C8" s="196"/>
      <c r="D8" s="196"/>
      <c r="E8" s="196"/>
      <c r="F8" s="196"/>
      <c r="G8" s="196"/>
      <c r="H8" s="196"/>
      <c r="I8" s="196"/>
      <c r="J8" s="196"/>
    </row>
    <row r="9" spans="1:10" ht="44.75" x14ac:dyDescent="1.75">
      <c r="A9" s="196"/>
      <c r="B9" s="196"/>
      <c r="C9" s="196"/>
      <c r="D9" s="196"/>
      <c r="E9" s="196"/>
      <c r="F9" s="196"/>
      <c r="G9" s="196"/>
      <c r="H9" s="196"/>
      <c r="I9" s="196"/>
      <c r="J9" s="196"/>
    </row>
    <row r="10" spans="1:10" ht="44.75" x14ac:dyDescent="1.75">
      <c r="A10" s="196"/>
      <c r="B10" s="196"/>
      <c r="C10" s="196"/>
      <c r="D10" s="196"/>
      <c r="E10" s="196"/>
      <c r="F10" s="196"/>
      <c r="G10" s="196"/>
      <c r="H10" s="196"/>
      <c r="I10" s="196"/>
      <c r="J10" s="196"/>
    </row>
    <row r="11" spans="1:10" ht="44.75" x14ac:dyDescent="1.75">
      <c r="A11" s="196"/>
      <c r="B11" s="196"/>
      <c r="C11" s="196"/>
      <c r="D11" s="196"/>
      <c r="E11" s="196"/>
      <c r="F11" s="196"/>
      <c r="G11" s="196"/>
      <c r="H11" s="196"/>
      <c r="I11" s="196"/>
      <c r="J11" s="196"/>
    </row>
    <row r="12" spans="1:10" ht="44.75" x14ac:dyDescent="1.75">
      <c r="A12" s="196"/>
      <c r="B12" s="196"/>
      <c r="C12" s="196"/>
      <c r="D12" s="196"/>
      <c r="E12" s="196"/>
      <c r="F12" s="196"/>
      <c r="G12" s="196"/>
      <c r="H12" s="196"/>
      <c r="I12" s="196"/>
      <c r="J12" s="196"/>
    </row>
    <row r="13" spans="1:10" ht="44.75" x14ac:dyDescent="1.75">
      <c r="A13" s="196"/>
      <c r="B13" s="196"/>
      <c r="C13" s="196"/>
      <c r="D13" s="196"/>
      <c r="E13" s="196"/>
      <c r="F13" s="196"/>
      <c r="G13" s="196"/>
      <c r="H13" s="196"/>
      <c r="I13" s="196"/>
      <c r="J13" s="196"/>
    </row>
    <row r="14" spans="1:10" ht="44.75" x14ac:dyDescent="1.75">
      <c r="A14" s="196"/>
      <c r="B14" s="196"/>
      <c r="C14" s="196"/>
      <c r="D14" s="196"/>
      <c r="E14" s="196"/>
      <c r="F14" s="196"/>
      <c r="G14" s="196"/>
      <c r="H14" s="196"/>
      <c r="I14" s="196"/>
      <c r="J14" s="196"/>
    </row>
    <row r="15" spans="1:10" ht="44.75" x14ac:dyDescent="1.75">
      <c r="A15" s="196"/>
      <c r="B15" s="196"/>
      <c r="C15" s="196"/>
      <c r="D15" s="196"/>
      <c r="E15" s="196"/>
      <c r="F15" s="196"/>
      <c r="G15" s="196"/>
      <c r="H15" s="196"/>
      <c r="I15" s="196"/>
      <c r="J15" s="196"/>
    </row>
    <row r="16" spans="1:10" ht="44.75" x14ac:dyDescent="1.75">
      <c r="A16" s="196"/>
      <c r="B16" s="196"/>
      <c r="C16" s="196"/>
      <c r="D16" s="196"/>
      <c r="E16" s="196"/>
      <c r="F16" s="196"/>
      <c r="G16" s="196"/>
      <c r="H16" s="196"/>
      <c r="I16" s="196"/>
      <c r="J16" s="196"/>
    </row>
    <row r="17" spans="1:10" ht="44.75" x14ac:dyDescent="1.75">
      <c r="A17" s="196"/>
      <c r="B17" s="196"/>
      <c r="C17" s="196"/>
      <c r="D17" s="196"/>
      <c r="E17" s="196"/>
      <c r="F17" s="196"/>
      <c r="G17" s="196"/>
      <c r="H17" s="196"/>
      <c r="I17" s="196"/>
      <c r="J17" s="196"/>
    </row>
    <row r="18" spans="1:10" ht="44.75" x14ac:dyDescent="1.75">
      <c r="A18" s="196"/>
      <c r="B18" s="196"/>
      <c r="C18" s="196"/>
      <c r="D18" s="196"/>
      <c r="E18" s="196"/>
      <c r="F18" s="196"/>
      <c r="G18" s="196"/>
      <c r="H18" s="196"/>
      <c r="I18" s="196"/>
      <c r="J18" s="196"/>
    </row>
    <row r="19" spans="1:10" ht="44.75" x14ac:dyDescent="1.75">
      <c r="A19" s="196"/>
      <c r="B19" s="196"/>
      <c r="C19" s="196"/>
      <c r="D19" s="196"/>
      <c r="E19" s="196"/>
      <c r="F19" s="196"/>
      <c r="G19" s="196"/>
      <c r="H19" s="196"/>
      <c r="I19" s="196"/>
      <c r="J19" s="196"/>
    </row>
    <row r="20" spans="1:10" ht="44.75" x14ac:dyDescent="1.75">
      <c r="A20" s="196"/>
      <c r="B20" s="196"/>
      <c r="C20" s="196"/>
      <c r="D20" s="196"/>
      <c r="E20" s="196"/>
      <c r="F20" s="196"/>
      <c r="G20" s="196"/>
      <c r="H20" s="196"/>
      <c r="I20" s="196"/>
      <c r="J20" s="196"/>
    </row>
    <row r="21" spans="1:10" ht="44.75" x14ac:dyDescent="1.75">
      <c r="A21" s="196"/>
      <c r="B21" s="196"/>
      <c r="C21" s="196"/>
      <c r="D21" s="196"/>
      <c r="E21" s="196"/>
      <c r="F21" s="196"/>
      <c r="G21" s="196"/>
      <c r="H21" s="196"/>
      <c r="I21" s="196"/>
      <c r="J21" s="196"/>
    </row>
    <row r="22" spans="1:10" s="198" customFormat="1" ht="44.75" x14ac:dyDescent="1.75">
      <c r="A22" s="197"/>
      <c r="B22" s="197"/>
      <c r="C22" s="197"/>
      <c r="D22" s="197"/>
      <c r="E22" s="197"/>
      <c r="F22" s="197"/>
      <c r="G22" s="197"/>
      <c r="H22" s="197"/>
      <c r="I22" s="197"/>
      <c r="J22" s="197"/>
    </row>
  </sheetData>
  <sheetProtection selectLockedCells="1" selectUnlockedCells="1"/>
  <mergeCells count="5">
    <mergeCell ref="A1:J1"/>
    <mergeCell ref="A2:D2"/>
    <mergeCell ref="E2:F2"/>
    <mergeCell ref="G2:H2"/>
    <mergeCell ref="I2:J2"/>
  </mergeCells>
  <printOptions horizontalCentered="1" verticalCentered="1"/>
  <pageMargins left="0.31527777777777777" right="0.31527777777777777" top="1" bottom="1" header="0" footer="0.51180555555555551"/>
  <pageSetup paperSize="9" firstPageNumber="0" orientation="portrait" horizontalDpi="300" verticalDpi="300"/>
  <headerFooter alignWithMargins="0">
    <oddHeader>&amp;C&amp;A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Descripciones</vt:lpstr>
      <vt:lpstr>Estacas Hurd</vt:lpstr>
      <vt:lpstr>Estacas Hurd mto. </vt:lpstr>
      <vt:lpstr>Estacas Johnsons</vt:lpstr>
      <vt:lpstr>Estacas Johnsons mto.</vt:lpstr>
      <vt:lpstr>RED PUNTOS CONTROL</vt:lpstr>
      <vt:lpstr>CorrInclinSepult</vt:lpstr>
      <vt:lpstr>Estacas Campo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Rodríguez Cielos</dc:creator>
  <cp:keywords/>
  <dc:description/>
  <cp:lastModifiedBy>Francisco Navarro</cp:lastModifiedBy>
  <cp:revision/>
  <dcterms:created xsi:type="dcterms:W3CDTF">2021-12-19T13:07:19Z</dcterms:created>
  <dcterms:modified xsi:type="dcterms:W3CDTF">2024-01-17T19:03:12Z</dcterms:modified>
  <cp:category/>
  <cp:contentStatus/>
</cp:coreProperties>
</file>