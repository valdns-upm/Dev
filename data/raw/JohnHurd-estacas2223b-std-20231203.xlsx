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alentin\Documents\Dev\Estacas\data\raw\"/>
    </mc:Choice>
  </mc:AlternateContent>
  <xr:revisionPtr revIDLastSave="0" documentId="13_ncr:1_{948760CB-CA17-48C1-B475-4F5D0D75A8ED}" xr6:coauthVersionLast="47" xr6:coauthVersionMax="47" xr10:uidLastSave="{00000000-0000-0000-0000-000000000000}"/>
  <bookViews>
    <workbookView xWindow="9510" yWindow="0" windowWidth="9780" windowHeight="11370" tabRatio="494" firstSheet="3" activeTab="3" xr2:uid="{00000000-000D-0000-FFFF-FFFF00000000}"/>
  </bookViews>
  <sheets>
    <sheet name="Descripciones" sheetId="1" r:id="rId1"/>
    <sheet name="Estacas Hurd" sheetId="2" r:id="rId2"/>
    <sheet name="Estacas Hurd mto. " sheetId="3" r:id="rId3"/>
    <sheet name="Estacas Johnsons" sheetId="4" r:id="rId4"/>
    <sheet name="Estacas Johnsons mto." sheetId="5" r:id="rId5"/>
    <sheet name="RED PUNTOS CONTROL" sheetId="6" r:id="rId6"/>
    <sheet name="CorrInclinSepult" sheetId="7" r:id="rId7"/>
    <sheet name="Estacas Camp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59" i="2" l="1"/>
  <c r="AS59" i="2"/>
  <c r="AR59" i="2"/>
  <c r="AQ59" i="2"/>
  <c r="AM59" i="2"/>
  <c r="AT58" i="2" l="1"/>
  <c r="AS58" i="2"/>
  <c r="AR58" i="2"/>
  <c r="AQ58" i="2"/>
  <c r="AM58" i="2"/>
  <c r="AT57" i="2"/>
  <c r="AS57" i="2"/>
  <c r="AR57" i="2"/>
  <c r="AQ57" i="2"/>
  <c r="AM57" i="2"/>
  <c r="AT55" i="2"/>
  <c r="AS55" i="2"/>
  <c r="AR55" i="2"/>
  <c r="AQ55" i="2"/>
  <c r="AM55" i="2"/>
  <c r="AS18" i="4" l="1"/>
  <c r="AR18" i="4"/>
  <c r="AQ18" i="4"/>
  <c r="AM18" i="4"/>
  <c r="AS11" i="4"/>
  <c r="AR11" i="4"/>
  <c r="AQ11" i="4"/>
  <c r="AM11" i="4"/>
  <c r="AW3" i="3" l="1"/>
  <c r="J2" i="7"/>
  <c r="L2" i="7" s="1"/>
  <c r="K2" i="7"/>
  <c r="N2" i="7"/>
  <c r="J3" i="7"/>
  <c r="M3" i="7" s="1"/>
  <c r="L3" i="7"/>
  <c r="K3" i="7"/>
  <c r="N3" i="7"/>
  <c r="J4" i="7"/>
  <c r="K4" i="7"/>
  <c r="L4" i="7"/>
  <c r="M4" i="7"/>
  <c r="N4" i="7"/>
  <c r="J5" i="7"/>
  <c r="L5" i="7" s="1"/>
  <c r="K5" i="7"/>
  <c r="N5" i="7"/>
  <c r="J6" i="7"/>
  <c r="M6" i="7" s="1"/>
  <c r="L6" i="7"/>
  <c r="K6" i="7"/>
  <c r="N6" i="7"/>
  <c r="J7" i="7"/>
  <c r="L7" i="7"/>
  <c r="K7" i="7"/>
  <c r="M7" i="7"/>
  <c r="N7" i="7"/>
  <c r="J8" i="7"/>
  <c r="M8" i="7" s="1"/>
  <c r="K8" i="7"/>
  <c r="N8" i="7"/>
  <c r="J9" i="7"/>
  <c r="L9" i="7" s="1"/>
  <c r="K9" i="7"/>
  <c r="N9" i="7"/>
  <c r="J10" i="7"/>
  <c r="L10" i="7" s="1"/>
  <c r="K10" i="7"/>
  <c r="N10" i="7"/>
  <c r="J11" i="7"/>
  <c r="L11" i="7"/>
  <c r="K11" i="7"/>
  <c r="N11" i="7"/>
  <c r="J12" i="7"/>
  <c r="L12" i="7" s="1"/>
  <c r="K12" i="7"/>
  <c r="N12" i="7"/>
  <c r="J13" i="7"/>
  <c r="L13" i="7" s="1"/>
  <c r="K13" i="7"/>
  <c r="M13" i="7"/>
  <c r="N13" i="7"/>
  <c r="J14" i="7"/>
  <c r="L14" i="7" s="1"/>
  <c r="K14" i="7"/>
  <c r="N14" i="7"/>
  <c r="J15" i="7"/>
  <c r="M15" i="7" s="1"/>
  <c r="K15" i="7"/>
  <c r="N15" i="7"/>
  <c r="J16" i="7"/>
  <c r="M16" i="7" s="1"/>
  <c r="K16" i="7"/>
  <c r="N16" i="7"/>
  <c r="J17" i="7"/>
  <c r="L17" i="7" s="1"/>
  <c r="K17" i="7"/>
  <c r="N17" i="7"/>
  <c r="J18" i="7"/>
  <c r="M18" i="7" s="1"/>
  <c r="K18" i="7"/>
  <c r="N18" i="7"/>
  <c r="J19" i="7"/>
  <c r="L19" i="7" s="1"/>
  <c r="K19" i="7"/>
  <c r="N19" i="7"/>
  <c r="J20" i="7"/>
  <c r="L20" i="7" s="1"/>
  <c r="K20" i="7"/>
  <c r="M20" i="7"/>
  <c r="N20" i="7"/>
  <c r="J21" i="7"/>
  <c r="L21" i="7" s="1"/>
  <c r="K21" i="7"/>
  <c r="N21" i="7"/>
  <c r="J22" i="7"/>
  <c r="L22" i="7" s="1"/>
  <c r="K22" i="7"/>
  <c r="N22" i="7"/>
  <c r="J23" i="7"/>
  <c r="M23" i="7" s="1"/>
  <c r="L23" i="7"/>
  <c r="K23" i="7"/>
  <c r="N23" i="7"/>
  <c r="J24" i="7"/>
  <c r="L24" i="7" s="1"/>
  <c r="K24" i="7"/>
  <c r="N24" i="7"/>
  <c r="J25" i="7"/>
  <c r="L25" i="7" s="1"/>
  <c r="K25" i="7"/>
  <c r="N25" i="7"/>
  <c r="O1" i="2"/>
  <c r="O1" i="3"/>
  <c r="O1" i="4"/>
  <c r="O1" i="5"/>
  <c r="N5" i="6"/>
  <c r="O5" i="6"/>
  <c r="P5" i="6"/>
  <c r="N6" i="6"/>
  <c r="O6" i="6"/>
  <c r="P6" i="6"/>
  <c r="N7" i="6"/>
  <c r="O7" i="6"/>
  <c r="P7" i="6"/>
  <c r="N8" i="6"/>
  <c r="O8" i="6"/>
  <c r="P8" i="6"/>
  <c r="N9" i="6"/>
  <c r="O9" i="6"/>
  <c r="P9" i="6"/>
  <c r="N10" i="6"/>
  <c r="O10" i="6"/>
  <c r="P10" i="6"/>
  <c r="N11" i="6"/>
  <c r="O11" i="6"/>
  <c r="P11" i="6"/>
  <c r="N12" i="6"/>
  <c r="O12" i="6"/>
  <c r="P12" i="6"/>
  <c r="N13" i="6"/>
  <c r="O13" i="6"/>
  <c r="P13" i="6"/>
  <c r="N14" i="6"/>
  <c r="O14" i="6"/>
  <c r="P14" i="6"/>
  <c r="N15" i="6"/>
  <c r="O15" i="6"/>
  <c r="P15" i="6"/>
  <c r="N16" i="6"/>
  <c r="O16" i="6"/>
  <c r="P16" i="6"/>
  <c r="N17" i="6"/>
  <c r="O17" i="6"/>
  <c r="P17" i="6"/>
  <c r="N18" i="6"/>
  <c r="O18" i="6"/>
  <c r="P18" i="6"/>
  <c r="N19" i="6"/>
  <c r="O19" i="6"/>
  <c r="P19" i="6"/>
  <c r="N20" i="6"/>
  <c r="O20" i="6"/>
  <c r="P20" i="6"/>
  <c r="N21" i="6"/>
  <c r="O21" i="6"/>
  <c r="P21" i="6"/>
  <c r="N22" i="6"/>
  <c r="O22" i="6"/>
  <c r="P22" i="6"/>
  <c r="N23" i="6"/>
  <c r="O23" i="6"/>
  <c r="P23" i="6"/>
  <c r="M11" i="7"/>
  <c r="M2" i="7"/>
  <c r="AT18" i="4" l="1"/>
  <c r="AT11" i="4"/>
  <c r="M14" i="7"/>
  <c r="M22" i="7"/>
  <c r="M25" i="7"/>
  <c r="L16" i="7"/>
  <c r="M9" i="7"/>
  <c r="M19" i="7"/>
  <c r="M21" i="7"/>
  <c r="L18" i="7"/>
  <c r="L8" i="7"/>
  <c r="L15" i="7"/>
  <c r="M24" i="7"/>
  <c r="M17" i="7"/>
  <c r="M12" i="7"/>
  <c r="M5" i="7"/>
  <c r="M1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00000000-0006-0000-0100-000001000000}">
      <text>
        <r>
          <rPr>
            <sz val="8"/>
            <color indexed="8"/>
            <rFont val="Tahoma"/>
            <family val="2"/>
          </rPr>
          <t xml:space="preserve">Formato 20xx-20yy
</t>
        </r>
      </text>
    </comment>
    <comment ref="C1" authorId="0" shapeId="0" xr:uid="{00000000-0006-0000-0100-000002000000}">
      <text>
        <r>
          <rPr>
            <sz val="8"/>
            <color indexed="8"/>
            <rFont val="Tahoma"/>
            <family val="2"/>
          </rPr>
          <t>Indicador del orden secuencial (a, b, c, ...) de esta  tanda de medidas de estacas dentro de la campaña en curso</t>
        </r>
      </text>
    </comment>
    <comment ref="E1" authorId="0" shapeId="0" xr:uid="{00000000-0006-0000-0100-000003000000}">
      <text>
        <r>
          <rPr>
            <sz val="8"/>
            <color indexed="8"/>
            <rFont val="Tahoma"/>
            <family val="2"/>
          </rPr>
          <t xml:space="preserve">Nombre del operador
</t>
        </r>
      </text>
    </comment>
    <comment ref="G1" authorId="0" shapeId="0" xr:uid="{00000000-0006-0000-0100-000004000000}">
      <text>
        <r>
          <rPr>
            <sz val="8"/>
            <color indexed="8"/>
            <rFont val="Tahoma"/>
            <family val="2"/>
          </rPr>
          <t xml:space="preserve">Marca y modelo de equipos base, rover y data controller.
E.g. Trimble 5700 (Base&amp;Rover) con Data Controller TSC2.
</t>
        </r>
      </text>
    </comment>
    <comment ref="L1" authorId="0" shapeId="0" xr:uid="{00000000-0006-0000-0100-000005000000}">
      <text>
        <r>
          <rPr>
            <sz val="8"/>
            <color indexed="8"/>
            <rFont val="Tahoma"/>
            <family val="2"/>
          </rPr>
          <t xml:space="preserve">Easting UTM, Northing UTM y altitud WGS84 de pto. referencia fijo (convenio propio).
</t>
        </r>
      </text>
    </comment>
    <comment ref="O1" authorId="0" shapeId="0" xr:uid="{00000000-0006-0000-0100-000006000000}">
      <text>
        <r>
          <rPr>
            <b/>
            <sz val="9"/>
            <color indexed="8"/>
            <rFont val="Tahoma"/>
            <family val="2"/>
          </rPr>
          <t xml:space="preserve">Paco:
</t>
        </r>
        <r>
          <rPr>
            <sz val="9"/>
            <color indexed="8"/>
            <rFont val="Tahoma"/>
            <family val="2"/>
          </rPr>
          <t>Se restan 11 cm para equipararlas al histórico hasta la campaña 2014-15, que tenía Z0 11 cm por debajo del Zr habitual (el pto. ref. BAE).</t>
        </r>
      </text>
    </comment>
    <comment ref="D2" authorId="0" shapeId="0" xr:uid="{00000000-0006-0000-0100-000007000000}">
      <text>
        <r>
          <rPr>
            <sz val="8"/>
            <color indexed="8"/>
            <rFont val="Tahoma"/>
            <family val="2"/>
          </rPr>
          <t xml:space="preserve">SÍ, si es una medida inmediatamente posterior a mantenimiento.
NO, en cualquier otro caso.
</t>
        </r>
        <r>
          <rPr>
            <b/>
            <sz val="8"/>
            <color indexed="8"/>
            <rFont val="Tahoma"/>
            <family val="2"/>
          </rPr>
          <t>Dejar aquí como NO</t>
        </r>
        <r>
          <rPr>
            <sz val="8"/>
            <color indexed="8"/>
            <rFont val="Tahoma"/>
            <family val="2"/>
          </rPr>
          <t>.</t>
        </r>
      </text>
    </comment>
    <comment ref="E2" authorId="0" shapeId="0" xr:uid="{00000000-0006-0000-0100-000008000000}">
      <text>
        <r>
          <rPr>
            <sz val="8"/>
            <color indexed="8"/>
            <rFont val="Tahoma"/>
            <family val="2"/>
          </rPr>
          <t>Sólo se rellena si Mto.=SÍ
(lo que sólo ocurre en hoja de mantenimiento asociada).</t>
        </r>
      </text>
    </comment>
    <comment ref="F2" authorId="0" shapeId="0" xr:uid="{00000000-0006-0000-0100-000009000000}">
      <text>
        <r>
          <rPr>
            <sz val="8"/>
            <color indexed="8"/>
            <rFont val="Tahoma"/>
            <family val="2"/>
          </rPr>
          <t>Sólo se rellena si Mto.=SÍ
(lo que sólo ocurre en hoja de mantenimiento asociada).</t>
        </r>
      </text>
    </comment>
    <comment ref="G2" authorId="0" shapeId="0" xr:uid="{00000000-0006-0000-0100-00000A000000}">
      <text>
        <r>
          <rPr>
            <sz val="8"/>
            <color indexed="8"/>
            <rFont val="Tahoma"/>
            <family val="2"/>
          </rPr>
          <t xml:space="preserve">Nombre del fichero fuente Trimble (.dc/.job) del que proviene la medida GPS.
</t>
        </r>
      </text>
    </comment>
    <comment ref="H2" authorId="0" shapeId="0" xr:uid="{00000000-0006-0000-0100-00000B000000}">
      <text>
        <r>
          <rPr>
            <sz val="8"/>
            <color indexed="8"/>
            <rFont val="Tahoma"/>
            <family val="2"/>
          </rPr>
          <t xml:space="preserve">Easting UTM del punto de ubicación de antena DGPS.
</t>
        </r>
      </text>
    </comment>
    <comment ref="I2" authorId="0" shapeId="0" xr:uid="{00000000-0006-0000-0100-00000C000000}">
      <text>
        <r>
          <rPr>
            <sz val="8"/>
            <color indexed="8"/>
            <rFont val="Tahoma"/>
            <family val="2"/>
          </rPr>
          <t>Northing UTM del punto de ubicación de antena DGPS.</t>
        </r>
      </text>
    </comment>
    <comment ref="J2" authorId="0" shapeId="0" xr:uid="{00000000-0006-0000-0100-00000D000000}">
      <text>
        <r>
          <rPr>
            <sz val="8"/>
            <color indexed="8"/>
            <rFont val="Tahoma"/>
            <family val="2"/>
          </rPr>
          <t>Altitud sobre elipsoide WGS84 del punto de ubicación de antena DGPS.</t>
        </r>
      </text>
    </comment>
    <comment ref="K2" authorId="0" shapeId="0" xr:uid="{00000000-0006-0000-0100-00000E000000}">
      <text>
        <r>
          <rPr>
            <sz val="8"/>
            <color indexed="8"/>
            <rFont val="Tahoma"/>
            <family val="2"/>
          </rPr>
          <t>Código (propio nuestro) punto DGPS:
RTK=Real Time Kinematics,
RTCM=Estándar de la "Radio Technical Commission for Maritime Services",
PP=Post-proceso.</t>
        </r>
      </text>
    </comment>
    <comment ref="L2" authorId="0" shapeId="0" xr:uid="{00000000-0006-0000-0100-00000F000000}">
      <text>
        <r>
          <rPr>
            <sz val="8"/>
            <color indexed="8"/>
            <rFont val="Tahoma"/>
            <family val="2"/>
          </rPr>
          <t xml:space="preserve">Altura de la base de la antena DGPS respecto al punto que se desea medir (en nuestro caso, la parte superior de la estaca de medida -sea la estaca real o la auxiliar).
</t>
        </r>
      </text>
    </comment>
    <comment ref="M2" authorId="0" shapeId="0" xr:uid="{00000000-0006-0000-0100-000010000000}">
      <text>
        <r>
          <rPr>
            <sz val="8"/>
            <color indexed="8"/>
            <rFont val="Tahoma"/>
            <family val="2"/>
          </rPr>
          <t>Easting UTM del punto base DGPS respecto al que se ha tomado la medida.</t>
        </r>
      </text>
    </comment>
    <comment ref="N2" authorId="0" shapeId="0" xr:uid="{00000000-0006-0000-0100-000011000000}">
      <text>
        <r>
          <rPr>
            <sz val="8"/>
            <color indexed="8"/>
            <rFont val="Tahoma"/>
            <family val="2"/>
          </rPr>
          <t>Northing UTM del punto base DGPS respecto al que se ha tomado la medida.</t>
        </r>
      </text>
    </comment>
    <comment ref="O2" authorId="0" shapeId="0" xr:uid="{00000000-0006-0000-0100-000012000000}">
      <text>
        <r>
          <rPr>
            <sz val="8"/>
            <color indexed="8"/>
            <rFont val="Tahoma"/>
            <family val="2"/>
          </rPr>
          <t>Altitud sobre el elipsoide WGS84 del punto base DGPS respecto al que se ha tomado la medida.</t>
        </r>
      </text>
    </comment>
    <comment ref="Q2" authorId="0" shapeId="0" xr:uid="{00000000-0006-0000-0100-000013000000}">
      <text>
        <r>
          <rPr>
            <sz val="8"/>
            <color indexed="8"/>
            <rFont val="Tahoma"/>
            <family val="2"/>
          </rPr>
          <t>Distancia desde nivel de la superficie de la nieve hasta el extremo superior de la estaca real, esté vertical o inclinada (positivo para estaca que aflora; negativo para estaca hundida).</t>
        </r>
      </text>
    </comment>
    <comment ref="R2" authorId="0" shapeId="0" xr:uid="{00000000-0006-0000-0100-000014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en la que se efectúa la medida DGPS, sea la propia estaca o una estaca auxiliar (DEBE SER SIEMPRE POSITIVO, para que la antena "vea" a los satélites).</t>
        </r>
      </text>
    </comment>
    <comment ref="S2" authorId="0" shapeId="0" xr:uid="{00000000-0006-0000-0100-000015000000}">
      <text>
        <r>
          <rPr>
            <sz val="8"/>
            <color indexed="8"/>
            <rFont val="Tahoma"/>
            <family val="2"/>
          </rPr>
          <t>Ángulo de elevación (de 0 a 90º) de la estaca respecto a la horizontal. Es el complementario del ángulo cenital (o desviación respecto a la vertical).</t>
        </r>
      </text>
    </comment>
    <comment ref="T2" authorId="0" shapeId="0" xr:uid="{00000000-0006-0000-0100-000016000000}">
      <text>
        <r>
          <rPr>
            <sz val="8"/>
            <color indexed="8"/>
            <rFont val="Tahoma"/>
            <family val="2"/>
          </rPr>
          <t>Rumbo (0 a 360º) de la estaca inclinada, medido desde el norte magnético en sentido de las agujas del reloj (denominado retrógrado).</t>
        </r>
      </text>
    </comment>
    <comment ref="AM2" authorId="0" shapeId="0" xr:uid="{00000000-0006-0000-0100-000017000000}">
      <text>
        <r>
          <rPr>
            <sz val="8"/>
            <color indexed="8"/>
            <rFont val="Tahoma"/>
            <family val="2"/>
          </rPr>
          <t xml:space="preserve">Espesor medio de nieve junto a la estaca (medido con sonda de nieve).
Calculado como media de los valores en "H usados en media"
</t>
        </r>
        <r>
          <rPr>
            <b/>
            <sz val="8"/>
            <color indexed="8"/>
            <rFont val="Tahoma"/>
            <family val="2"/>
          </rPr>
          <t>OJO:</t>
        </r>
        <r>
          <rPr>
            <sz val="8"/>
            <color indexed="8"/>
            <rFont val="Tahoma"/>
            <family val="2"/>
          </rPr>
          <t xml:space="preserve"> cambiar la fórmula (ojo con cociente) en función del número de valores relleno.</t>
        </r>
      </text>
    </comment>
    <comment ref="AN2" authorId="0" shapeId="0" xr:uid="{00000000-0006-0000-0100-000018000000}">
      <text>
        <r>
          <rPr>
            <sz val="8"/>
            <color indexed="8"/>
            <rFont val="Tahoma"/>
            <family val="2"/>
          </rPr>
          <t xml:space="preserve">Longitud total de la estaca
(incluyendo parte enterrada).
Para estaca ampliada, sólo longitud del último tramo.
</t>
        </r>
        <r>
          <rPr>
            <b/>
            <sz val="8"/>
            <color indexed="8"/>
            <rFont val="Tahoma"/>
            <family val="2"/>
          </rPr>
          <t>Sólo usar fórmula para estacas inclinadas en zona de ablación.</t>
        </r>
      </text>
    </comment>
    <comment ref="AP2" authorId="0" shapeId="0" xr:uid="{00000000-0006-0000-0100-000019000000}">
      <text>
        <r>
          <rPr>
            <sz val="8"/>
            <color indexed="8"/>
            <rFont val="Tahoma"/>
            <family val="2"/>
          </rPr>
          <t>Nombres de ficheros de imagen asociados a esta medida (esquemas, fotos).</t>
        </r>
      </text>
    </comment>
    <comment ref="AQ2" authorId="0" shapeId="0" xr:uid="{00000000-0006-0000-0100-00001A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vertical (si estuviera inclinada, tras devolverla virtualmente a la posición vertical).</t>
        </r>
      </text>
    </comment>
    <comment ref="AR2" authorId="0" shapeId="0" xr:uid="{00000000-0006-0000-0100-00001B000000}">
      <text>
        <r>
          <rPr>
            <sz val="8"/>
            <color indexed="8"/>
            <rFont val="Tahoma"/>
            <family val="2"/>
          </rPr>
          <t xml:space="preserve">Easting UTM del extremo superior de la estaca.
</t>
        </r>
      </text>
    </comment>
    <comment ref="AS2" authorId="0" shapeId="0" xr:uid="{00000000-0006-0000-0100-00001C000000}">
      <text>
        <r>
          <rPr>
            <sz val="8"/>
            <color indexed="8"/>
            <rFont val="Tahoma"/>
            <family val="2"/>
          </rPr>
          <t xml:space="preserve">Northing UTM del extremo superior de la estaca.
</t>
        </r>
      </text>
    </comment>
    <comment ref="AT2" authorId="0" shapeId="0" xr:uid="{00000000-0006-0000-0100-00001D000000}">
      <text>
        <r>
          <rPr>
            <sz val="8"/>
            <color indexed="8"/>
            <rFont val="Tahoma"/>
            <family val="2"/>
          </rPr>
          <t xml:space="preserve">Altitud sobre elipsoide WGS84 del extremo superior de la estaca.
</t>
        </r>
      </text>
    </comment>
    <comment ref="AU2" authorId="0" shapeId="0" xr:uid="{00000000-0006-0000-0100-00001E000000}">
      <text>
        <r>
          <rPr>
            <sz val="8"/>
            <color indexed="8"/>
            <rFont val="Tahoma"/>
            <family val="2"/>
          </rPr>
          <t>¿Medida en cuarentena?
Especificar SÍ si se tiene alguna duda sobre la exactitud de la medida.
De ser así, especificar en celda de comentarios la razón de la duda.</t>
        </r>
      </text>
    </comment>
    <comment ref="AX2" authorId="0" shapeId="0" xr:uid="{00000000-0006-0000-0100-00001F000000}">
      <text>
        <r>
          <rPr>
            <sz val="8"/>
            <color indexed="8"/>
            <rFont val="Tahoma"/>
            <family val="2"/>
          </rPr>
          <t>Ángulo de inclinación (de 0 a 90º) de la superficie del glaciar en la dirección de inclinación de la estaca.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00000000-0006-0000-0200-000001000000}">
      <text>
        <r>
          <rPr>
            <sz val="8"/>
            <color indexed="8"/>
            <rFont val="Tahoma"/>
            <family val="2"/>
          </rPr>
          <t xml:space="preserve">Formato 20xx-20yy
</t>
        </r>
      </text>
    </comment>
    <comment ref="C1" authorId="0" shapeId="0" xr:uid="{00000000-0006-0000-0200-000002000000}">
      <text>
        <r>
          <rPr>
            <sz val="8"/>
            <color indexed="8"/>
            <rFont val="Tahoma"/>
            <family val="2"/>
          </rPr>
          <t>Indicador del orden secuencial (a, b, c, ...) de esta  tanda de medidas de estacas dentro de la campaña en curso</t>
        </r>
      </text>
    </comment>
    <comment ref="E1" authorId="0" shapeId="0" xr:uid="{00000000-0006-0000-0200-000003000000}">
      <text>
        <r>
          <rPr>
            <sz val="8"/>
            <color indexed="8"/>
            <rFont val="Tahoma"/>
            <family val="2"/>
          </rPr>
          <t xml:space="preserve">Nombre del operador
</t>
        </r>
      </text>
    </comment>
    <comment ref="G1" authorId="0" shapeId="0" xr:uid="{00000000-0006-0000-0200-000004000000}">
      <text>
        <r>
          <rPr>
            <sz val="8"/>
            <color indexed="8"/>
            <rFont val="Tahoma"/>
            <family val="2"/>
          </rPr>
          <t xml:space="preserve">Marca y modelo de equipos base, rover y data controller.
E.g. Trimble 5700 (Base&amp;Rover) con Data Controller TSC2.
</t>
        </r>
      </text>
    </comment>
    <comment ref="L1" authorId="0" shapeId="0" xr:uid="{00000000-0006-0000-0200-000005000000}">
      <text>
        <r>
          <rPr>
            <sz val="8"/>
            <color indexed="8"/>
            <rFont val="Tahoma"/>
            <family val="2"/>
          </rPr>
          <t xml:space="preserve">Easting UTM, Northing UTM y altitud WGS84 de pto. referencia fijo (convenio propio).
</t>
        </r>
      </text>
    </comment>
    <comment ref="O1" authorId="0" shapeId="0" xr:uid="{00000000-0006-0000-0200-000006000000}">
      <text>
        <r>
          <rPr>
            <b/>
            <sz val="9"/>
            <color indexed="8"/>
            <rFont val="Tahoma"/>
            <family val="2"/>
          </rPr>
          <t xml:space="preserve">Paco:
</t>
        </r>
        <r>
          <rPr>
            <sz val="9"/>
            <color indexed="8"/>
            <rFont val="Tahoma"/>
            <family val="2"/>
          </rPr>
          <t>Se restan 11 cm para equipararlas al histórico hasta la campaña 2014-15, que tenía Z0 11 cm por debajo del Zr habitual (el pto. ref. BAE).</t>
        </r>
      </text>
    </comment>
    <comment ref="B2" authorId="0" shapeId="0" xr:uid="{00000000-0006-0000-0200-000007000000}">
      <text>
        <r>
          <rPr>
            <sz val="8"/>
            <color indexed="8"/>
            <rFont val="Tahoma"/>
            <family val="2"/>
          </rPr>
          <t>Fecha de la medida inmediatamente posterior al mantenimiento.</t>
        </r>
      </text>
    </comment>
    <comment ref="C2" authorId="0" shapeId="0" xr:uid="{00000000-0006-0000-0200-000008000000}">
      <text>
        <r>
          <rPr>
            <sz val="8"/>
            <color indexed="8"/>
            <rFont val="Tahoma"/>
            <family val="2"/>
          </rPr>
          <t>Hora de la medida inmediatamente posterior al mantenimiento.</t>
        </r>
      </text>
    </comment>
    <comment ref="D2" authorId="0" shapeId="0" xr:uid="{00000000-0006-0000-0200-000009000000}">
      <text>
        <r>
          <rPr>
            <sz val="8"/>
            <color indexed="8"/>
            <rFont val="Tahoma"/>
            <family val="2"/>
          </rPr>
          <t>Dejar SÍ, si se trata de una medida inmediatamente posterior a mantenimiento.
En caso contrario (fila vacía de datos), borrar el SÍ.</t>
        </r>
      </text>
    </comment>
    <comment ref="E2" authorId="0" shapeId="0" xr:uid="{00000000-0006-0000-0200-00000A000000}">
      <text>
        <r>
          <rPr>
            <sz val="8"/>
            <color indexed="8"/>
            <rFont val="Tahoma"/>
            <family val="2"/>
          </rPr>
          <t>Sólo rellenar si Mto.=Sí
Fecha de la medida previa al mantenimiento, en hoja  asociada.</t>
        </r>
      </text>
    </comment>
    <comment ref="F2" authorId="0" shapeId="0" xr:uid="{00000000-0006-0000-0200-00000B000000}">
      <text>
        <r>
          <rPr>
            <sz val="8"/>
            <color indexed="8"/>
            <rFont val="Tahoma"/>
            <family val="2"/>
          </rPr>
          <t>Sólo rellenar si Mto.=Sí
Hora de la medida previa al mantenimiento, en hoja  asociada.</t>
        </r>
      </text>
    </comment>
    <comment ref="G2" authorId="0" shapeId="0" xr:uid="{00000000-0006-0000-0200-00000C000000}">
      <text>
        <r>
          <rPr>
            <sz val="8"/>
            <color indexed="8"/>
            <rFont val="Tahoma"/>
            <family val="2"/>
          </rPr>
          <t xml:space="preserve">Nombre del fichero fuente Trimble (.dc/.job) del que proviene la medida GPS.
</t>
        </r>
      </text>
    </comment>
    <comment ref="H2" authorId="0" shapeId="0" xr:uid="{00000000-0006-0000-0200-00000D000000}">
      <text>
        <r>
          <rPr>
            <sz val="8"/>
            <color indexed="8"/>
            <rFont val="Tahoma"/>
            <family val="2"/>
          </rPr>
          <t xml:space="preserve">Easting UTM del punto de ubicación de antena DGPS.
</t>
        </r>
      </text>
    </comment>
    <comment ref="I2" authorId="0" shapeId="0" xr:uid="{00000000-0006-0000-0200-00000E000000}">
      <text>
        <r>
          <rPr>
            <sz val="8"/>
            <color indexed="8"/>
            <rFont val="Tahoma"/>
            <family val="2"/>
          </rPr>
          <t>Northing UTM del punto de ubicación de antena DGPS.</t>
        </r>
      </text>
    </comment>
    <comment ref="J2" authorId="0" shapeId="0" xr:uid="{00000000-0006-0000-0200-00000F000000}">
      <text>
        <r>
          <rPr>
            <sz val="8"/>
            <color indexed="8"/>
            <rFont val="Tahoma"/>
            <family val="2"/>
          </rPr>
          <t>Altitud sobre elipsoide WGS84 del punto de ubicación de antena DGPS.</t>
        </r>
      </text>
    </comment>
    <comment ref="K2" authorId="0" shapeId="0" xr:uid="{00000000-0006-0000-0200-000010000000}">
      <text>
        <r>
          <rPr>
            <sz val="8"/>
            <color indexed="8"/>
            <rFont val="Tahoma"/>
            <family val="2"/>
          </rPr>
          <t>Código (propio nuestro) punto DGPS:
RTK=Real Time Kinematics,
RTCM=Estándar de la "Radio Technical Commission for Maritime Services",
PP=Post-proceso.</t>
        </r>
      </text>
    </comment>
    <comment ref="L2" authorId="0" shapeId="0" xr:uid="{00000000-0006-0000-0200-000011000000}">
      <text>
        <r>
          <rPr>
            <sz val="8"/>
            <color indexed="8"/>
            <rFont val="Tahoma"/>
            <family val="2"/>
          </rPr>
          <t xml:space="preserve">Altura de la base de la antena DGPS respecto al punto que se desea medir (en nuestro caso, la parte superior de la estaca de medida -sea la estaca real o la auxiliar).
</t>
        </r>
      </text>
    </comment>
    <comment ref="M2" authorId="0" shapeId="0" xr:uid="{00000000-0006-0000-0200-000012000000}">
      <text>
        <r>
          <rPr>
            <sz val="8"/>
            <color indexed="8"/>
            <rFont val="Tahoma"/>
            <family val="2"/>
          </rPr>
          <t>Easting UTM del punto base DGPS respecto al que se ha tomado la medida.</t>
        </r>
      </text>
    </comment>
    <comment ref="N2" authorId="0" shapeId="0" xr:uid="{00000000-0006-0000-0200-000013000000}">
      <text>
        <r>
          <rPr>
            <sz val="8"/>
            <color indexed="8"/>
            <rFont val="Tahoma"/>
            <family val="2"/>
          </rPr>
          <t>Northing UTM del punto base DGPS respecto al que se ha tomado la medida.</t>
        </r>
      </text>
    </comment>
    <comment ref="O2" authorId="0" shapeId="0" xr:uid="{00000000-0006-0000-0200-000014000000}">
      <text>
        <r>
          <rPr>
            <sz val="8"/>
            <color indexed="8"/>
            <rFont val="Tahoma"/>
            <family val="2"/>
          </rPr>
          <t>Altitud sobre el elipsoide WGS84 del punto base DGPS respecto al que se ha tomado la medida.</t>
        </r>
      </text>
    </comment>
    <comment ref="Q2" authorId="0" shapeId="0" xr:uid="{00000000-0006-0000-0200-000015000000}">
      <text>
        <r>
          <rPr>
            <sz val="8"/>
            <color indexed="8"/>
            <rFont val="Tahoma"/>
            <family val="2"/>
          </rPr>
          <t>Distancia desde nivel de la superficie de la nieve hasta el extremo superior de la estaca real, esté vertical o inclinada (positivo para estaca que aflora; negativo para estaca hundida).</t>
        </r>
      </text>
    </comment>
    <comment ref="R2" authorId="0" shapeId="0" xr:uid="{00000000-0006-0000-0200-000016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en la que se efectúa la medida DGPS, sea la propia estaca o una estaca auxiliar (DEBE SER SIEMPRE POSITIVO, para que la antena "vea" a los satélites).</t>
        </r>
      </text>
    </comment>
    <comment ref="S2" authorId="0" shapeId="0" xr:uid="{00000000-0006-0000-0200-000017000000}">
      <text>
        <r>
          <rPr>
            <sz val="8"/>
            <color indexed="8"/>
            <rFont val="Tahoma"/>
            <family val="2"/>
          </rPr>
          <t>Ángulo de elevación (de 0 a 90º) de la estaca respecto a la horizontal. Es el complementario del ángulo cenital (o desviación respecto a la vertical).</t>
        </r>
      </text>
    </comment>
    <comment ref="T2" authorId="0" shapeId="0" xr:uid="{00000000-0006-0000-0200-000018000000}">
      <text>
        <r>
          <rPr>
            <sz val="8"/>
            <color indexed="8"/>
            <rFont val="Tahoma"/>
            <family val="2"/>
          </rPr>
          <t>Rumbo (0 a 360º) de la estaca inclinada, medido desde el norte magnético en sentido de las agujas del reloj (denominado retrógrado).</t>
        </r>
      </text>
    </comment>
    <comment ref="AM2" authorId="0" shapeId="0" xr:uid="{00000000-0006-0000-0200-000019000000}">
      <text>
        <r>
          <rPr>
            <sz val="8"/>
            <color indexed="8"/>
            <rFont val="Tahoma"/>
            <family val="2"/>
          </rPr>
          <t xml:space="preserve">Espesor medio de nieve junto a la estaca (medido con sonda de nieve).
Calculado como media de los valores en "H usados en media"
</t>
        </r>
        <r>
          <rPr>
            <b/>
            <sz val="8"/>
            <color indexed="8"/>
            <rFont val="Tahoma"/>
            <family val="2"/>
          </rPr>
          <t>OJO:</t>
        </r>
        <r>
          <rPr>
            <sz val="8"/>
            <color indexed="8"/>
            <rFont val="Tahoma"/>
            <family val="2"/>
          </rPr>
          <t xml:space="preserve"> cambiar la fórmula (ojo con cociente) en función del número de valores relleno.</t>
        </r>
      </text>
    </comment>
    <comment ref="AN2" authorId="0" shapeId="0" xr:uid="{00000000-0006-0000-0200-00001A000000}">
      <text>
        <r>
          <rPr>
            <sz val="8"/>
            <color indexed="8"/>
            <rFont val="Tahoma"/>
            <family val="2"/>
          </rPr>
          <t xml:space="preserve">Longitud total de la estaca
(incluyendo parte enterrada).
Para estaca ampliada, sólo longitud del último tramo.
</t>
        </r>
        <r>
          <rPr>
            <b/>
            <sz val="8"/>
            <color indexed="8"/>
            <rFont val="Tahoma"/>
            <family val="2"/>
          </rPr>
          <t>Sólo usar fórmula para estacas inclinadas en zona de ablación.</t>
        </r>
      </text>
    </comment>
    <comment ref="AP2" authorId="0" shapeId="0" xr:uid="{00000000-0006-0000-0200-00001B000000}">
      <text>
        <r>
          <rPr>
            <sz val="8"/>
            <color indexed="8"/>
            <rFont val="Tahoma"/>
            <family val="2"/>
          </rPr>
          <t>Nombres de ficheros de imagen asociados a esta medida (esquemas, fotos).</t>
        </r>
      </text>
    </comment>
    <comment ref="AQ2" authorId="0" shapeId="0" xr:uid="{00000000-0006-0000-0200-00001C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vertical (si estuviera inclinada, tras devolverla virtualmente a la posición vertical).</t>
        </r>
      </text>
    </comment>
    <comment ref="AR2" authorId="0" shapeId="0" xr:uid="{00000000-0006-0000-0200-00001D000000}">
      <text>
        <r>
          <rPr>
            <sz val="8"/>
            <color indexed="8"/>
            <rFont val="Tahoma"/>
            <family val="2"/>
          </rPr>
          <t xml:space="preserve">Easting UTM del extremo superior de la estaca.
</t>
        </r>
      </text>
    </comment>
    <comment ref="AS2" authorId="0" shapeId="0" xr:uid="{00000000-0006-0000-0200-00001E000000}">
      <text>
        <r>
          <rPr>
            <sz val="8"/>
            <color indexed="8"/>
            <rFont val="Tahoma"/>
            <family val="2"/>
          </rPr>
          <t xml:space="preserve">Northing UTM del extremo superior de la estaca.
</t>
        </r>
      </text>
    </comment>
    <comment ref="AT2" authorId="0" shapeId="0" xr:uid="{00000000-0006-0000-0200-00001F000000}">
      <text>
        <r>
          <rPr>
            <sz val="8"/>
            <color indexed="8"/>
            <rFont val="Tahoma"/>
            <family val="2"/>
          </rPr>
          <t xml:space="preserve">Altitud sobre elipsoide WGS84 del extremo superior de la estaca.
</t>
        </r>
      </text>
    </comment>
    <comment ref="AU2" authorId="0" shapeId="0" xr:uid="{00000000-0006-0000-0200-000020000000}">
      <text>
        <r>
          <rPr>
            <sz val="8"/>
            <color indexed="8"/>
            <rFont val="Tahoma"/>
            <family val="2"/>
          </rPr>
          <t>¿Medida en cuarentena?
Especificar SÍ si se tiene alguna duda sobre la exactitud de la medida.
De ser así, especificar en celda de comentarios la razón de la duda.</t>
        </r>
      </text>
    </comment>
    <comment ref="AW2" authorId="0" shapeId="0" xr:uid="{00000000-0006-0000-0200-000021000000}">
      <text>
        <r>
          <rPr>
            <sz val="8"/>
            <color indexed="8"/>
            <rFont val="Tahoma"/>
            <family val="2"/>
          </rPr>
          <t>Delta_h=h_después-h_antes, cambio de la longitud de la estaca (positivo, si extensión; negativo, si replantado).
Sólo se calcula en la hoja de mantenimiento.</t>
        </r>
      </text>
    </comment>
    <comment ref="AX2" authorId="0" shapeId="0" xr:uid="{00000000-0006-0000-0200-000022000000}">
      <text>
        <r>
          <rPr>
            <sz val="8"/>
            <color indexed="8"/>
            <rFont val="Tahoma"/>
            <family val="2"/>
          </rPr>
          <t>Ángulo de inclinación (de 0 a 90º) de la superficie del glaciar en la dirección de inclinación de la estaca.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00000000-0006-0000-0300-000001000000}">
      <text>
        <r>
          <rPr>
            <sz val="8"/>
            <color indexed="8"/>
            <rFont val="Tahoma"/>
            <family val="2"/>
          </rPr>
          <t xml:space="preserve">Formato 20xx-20yy
</t>
        </r>
      </text>
    </comment>
    <comment ref="C1" authorId="0" shapeId="0" xr:uid="{00000000-0006-0000-0300-000002000000}">
      <text>
        <r>
          <rPr>
            <sz val="8"/>
            <color indexed="8"/>
            <rFont val="Tahoma"/>
            <family val="2"/>
          </rPr>
          <t>Indicador del orden secuencial (a, b, c, ...) de esta  tanda de medidas de estacas dentro de la campaña en curso</t>
        </r>
      </text>
    </comment>
    <comment ref="E1" authorId="0" shapeId="0" xr:uid="{00000000-0006-0000-0300-000003000000}">
      <text>
        <r>
          <rPr>
            <sz val="8"/>
            <color indexed="8"/>
            <rFont val="Tahoma"/>
            <family val="2"/>
          </rPr>
          <t xml:space="preserve">Nombre del operador
</t>
        </r>
      </text>
    </comment>
    <comment ref="G1" authorId="0" shapeId="0" xr:uid="{00000000-0006-0000-0300-000004000000}">
      <text>
        <r>
          <rPr>
            <sz val="8"/>
            <color indexed="8"/>
            <rFont val="Tahoma"/>
            <family val="2"/>
          </rPr>
          <t xml:space="preserve">Marca y modelo de equipos base, rover y data controller.
E.g. Trimble 5700 (Base&amp;Rover) con Data Controller TSC2.
</t>
        </r>
      </text>
    </comment>
    <comment ref="L1" authorId="0" shapeId="0" xr:uid="{00000000-0006-0000-0300-000005000000}">
      <text>
        <r>
          <rPr>
            <sz val="8"/>
            <color indexed="8"/>
            <rFont val="Tahoma"/>
            <family val="2"/>
          </rPr>
          <t xml:space="preserve">Easting UTM, Northing UTM y altitud WGS84 de pto. referencia fijo (convenio propio).
</t>
        </r>
      </text>
    </comment>
    <comment ref="O1" authorId="0" shapeId="0" xr:uid="{00000000-0006-0000-0300-000006000000}">
      <text>
        <r>
          <rPr>
            <b/>
            <sz val="9"/>
            <color indexed="8"/>
            <rFont val="Tahoma"/>
            <family val="2"/>
          </rPr>
          <t xml:space="preserve">Paco:
</t>
        </r>
        <r>
          <rPr>
            <sz val="9"/>
            <color indexed="8"/>
            <rFont val="Tahoma"/>
            <family val="2"/>
          </rPr>
          <t>Se restan 11 cm para equipararlas al histórico hasta la campaña 2014-15, que tenía Z0 11 cm por debajo del Zr habitual (el pto. ref. BAE).</t>
        </r>
      </text>
    </comment>
    <comment ref="D2" authorId="0" shapeId="0" xr:uid="{00000000-0006-0000-0300-000007000000}">
      <text>
        <r>
          <rPr>
            <sz val="8"/>
            <color indexed="8"/>
            <rFont val="Tahoma"/>
            <family val="2"/>
          </rPr>
          <t xml:space="preserve">SÍ, si es una medida inmediatamente posterior a mantenimiento.
NO, en cualquier otro caso.
</t>
        </r>
        <r>
          <rPr>
            <b/>
            <sz val="8"/>
            <color indexed="8"/>
            <rFont val="Tahoma"/>
            <family val="2"/>
          </rPr>
          <t>Dejar aquí como NO</t>
        </r>
        <r>
          <rPr>
            <sz val="8"/>
            <color indexed="8"/>
            <rFont val="Tahoma"/>
            <family val="2"/>
          </rPr>
          <t>.</t>
        </r>
      </text>
    </comment>
    <comment ref="E2" authorId="0" shapeId="0" xr:uid="{00000000-0006-0000-0300-000008000000}">
      <text>
        <r>
          <rPr>
            <sz val="8"/>
            <color indexed="8"/>
            <rFont val="Tahoma"/>
            <family val="2"/>
          </rPr>
          <t>Sólo se rellena si Mto.=SÍ
(lo que sólo ocurre en hoja de mantenimiento asociada).</t>
        </r>
      </text>
    </comment>
    <comment ref="F2" authorId="0" shapeId="0" xr:uid="{00000000-0006-0000-0300-000009000000}">
      <text>
        <r>
          <rPr>
            <sz val="8"/>
            <color indexed="8"/>
            <rFont val="Tahoma"/>
            <family val="2"/>
          </rPr>
          <t>Sólo se rellena si Mto.=SÍ
(lo que sólo ocurre en hoja de mantenimiento asociada).</t>
        </r>
      </text>
    </comment>
    <comment ref="G2" authorId="0" shapeId="0" xr:uid="{00000000-0006-0000-0300-00000A000000}">
      <text>
        <r>
          <rPr>
            <sz val="8"/>
            <color indexed="8"/>
            <rFont val="Tahoma"/>
            <family val="2"/>
          </rPr>
          <t xml:space="preserve">Nombre del fichero fuente Trimble (.dc/.job) del que proviene la medida GPS.
</t>
        </r>
      </text>
    </comment>
    <comment ref="H2" authorId="0" shapeId="0" xr:uid="{00000000-0006-0000-0300-00000B000000}">
      <text>
        <r>
          <rPr>
            <sz val="8"/>
            <color indexed="8"/>
            <rFont val="Tahoma"/>
            <family val="2"/>
          </rPr>
          <t xml:space="preserve">Easting UTM del punto de ubicación de antena DGPS.
</t>
        </r>
      </text>
    </comment>
    <comment ref="I2" authorId="0" shapeId="0" xr:uid="{00000000-0006-0000-0300-00000C000000}">
      <text>
        <r>
          <rPr>
            <sz val="8"/>
            <color indexed="8"/>
            <rFont val="Tahoma"/>
            <family val="2"/>
          </rPr>
          <t>Northing UTM del punto de ubicación de antena DGPS.</t>
        </r>
      </text>
    </comment>
    <comment ref="J2" authorId="0" shapeId="0" xr:uid="{00000000-0006-0000-0300-00000D000000}">
      <text>
        <r>
          <rPr>
            <sz val="8"/>
            <color indexed="8"/>
            <rFont val="Tahoma"/>
            <family val="2"/>
          </rPr>
          <t>Altitud sobre elipsoide WGS84 del punto de ubicación de antena DGPS.</t>
        </r>
      </text>
    </comment>
    <comment ref="K2" authorId="0" shapeId="0" xr:uid="{00000000-0006-0000-0300-00000E000000}">
      <text>
        <r>
          <rPr>
            <sz val="8"/>
            <color indexed="8"/>
            <rFont val="Tahoma"/>
            <family val="2"/>
          </rPr>
          <t>Código (propio nuestro) punto DGPS:
RTK=Real Time Kinematics,
RTCM=Estándar de la "Radio Technical Commission for Maritime Services",
PP=Post-proceso.</t>
        </r>
      </text>
    </comment>
    <comment ref="L2" authorId="0" shapeId="0" xr:uid="{00000000-0006-0000-0300-00000F000000}">
      <text>
        <r>
          <rPr>
            <sz val="8"/>
            <color indexed="8"/>
            <rFont val="Tahoma"/>
            <family val="2"/>
          </rPr>
          <t xml:space="preserve">Altura de la base de la antena DGPS respecto al punto que se desea medir (en nuestro caso, la parte superior de la estaca de medida -sea la estaca real o la auxiliar).
</t>
        </r>
      </text>
    </comment>
    <comment ref="M2" authorId="0" shapeId="0" xr:uid="{00000000-0006-0000-0300-000010000000}">
      <text>
        <r>
          <rPr>
            <sz val="8"/>
            <color indexed="8"/>
            <rFont val="Tahoma"/>
            <family val="2"/>
          </rPr>
          <t>Easting UTM del punto base DGPS respecto al que se ha tomado la medida.</t>
        </r>
      </text>
    </comment>
    <comment ref="N2" authorId="0" shapeId="0" xr:uid="{00000000-0006-0000-0300-000011000000}">
      <text>
        <r>
          <rPr>
            <sz val="8"/>
            <color indexed="8"/>
            <rFont val="Tahoma"/>
            <family val="2"/>
          </rPr>
          <t>Northing UTM del punto base DGPS respecto al que se ha tomado la medida.</t>
        </r>
      </text>
    </comment>
    <comment ref="O2" authorId="0" shapeId="0" xr:uid="{00000000-0006-0000-0300-000012000000}">
      <text>
        <r>
          <rPr>
            <sz val="8"/>
            <color indexed="8"/>
            <rFont val="Tahoma"/>
            <family val="2"/>
          </rPr>
          <t>Altitud sobre el elipsoide WGS84 del punto base DGPS respecto al que se ha tomado la medida.</t>
        </r>
      </text>
    </comment>
    <comment ref="Q2" authorId="0" shapeId="0" xr:uid="{00000000-0006-0000-0300-000013000000}">
      <text>
        <r>
          <rPr>
            <sz val="8"/>
            <color indexed="8"/>
            <rFont val="Tahoma"/>
            <family val="2"/>
          </rPr>
          <t>Distancia desde nivel de la superficie de la nieve hasta el extremo superior de la estaca real, esté vertical o inclinada (positivo para estaca que aflora; negativo para estaca hundida).</t>
        </r>
      </text>
    </comment>
    <comment ref="R2" authorId="0" shapeId="0" xr:uid="{00000000-0006-0000-0300-000014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en la que se efectúa la medida DGPS, sea la propia estaca o una estaca auxiliar (DEBE SER SIEMPRE POSITIVO, para que la antena "vea" a los satélites).</t>
        </r>
      </text>
    </comment>
    <comment ref="S2" authorId="0" shapeId="0" xr:uid="{00000000-0006-0000-0300-000015000000}">
      <text>
        <r>
          <rPr>
            <sz val="8"/>
            <color indexed="8"/>
            <rFont val="Tahoma"/>
            <family val="2"/>
          </rPr>
          <t>Ángulo de elevación (de 0 a 90º) de la estaca respecto a la horizontal. Es el complementario del ángulo cenital (o desviación respecto a la vertical).</t>
        </r>
      </text>
    </comment>
    <comment ref="T2" authorId="0" shapeId="0" xr:uid="{00000000-0006-0000-0300-000016000000}">
      <text>
        <r>
          <rPr>
            <sz val="8"/>
            <color indexed="8"/>
            <rFont val="Tahoma"/>
            <family val="2"/>
          </rPr>
          <t>Rumbo (0 a 360º) de la estaca inclinada, medido desde el norte magnético en sentido de las agujas del reloj (denominado retrógrado).</t>
        </r>
      </text>
    </comment>
    <comment ref="AM2" authorId="0" shapeId="0" xr:uid="{00000000-0006-0000-0300-000017000000}">
      <text>
        <r>
          <rPr>
            <sz val="8"/>
            <color indexed="8"/>
            <rFont val="Tahoma"/>
            <family val="2"/>
          </rPr>
          <t xml:space="preserve">Espesor medio de nieve junto a la estaca (medido con sonda de nieve).
Calculado como media de los valores en "H usados en media"
</t>
        </r>
        <r>
          <rPr>
            <b/>
            <sz val="8"/>
            <color indexed="8"/>
            <rFont val="Tahoma"/>
            <family val="2"/>
          </rPr>
          <t>OJO:</t>
        </r>
        <r>
          <rPr>
            <sz val="8"/>
            <color indexed="8"/>
            <rFont val="Tahoma"/>
            <family val="2"/>
          </rPr>
          <t xml:space="preserve"> cambiar la fórmula (ojo con cociente) en función del número de valores relleno.</t>
        </r>
      </text>
    </comment>
    <comment ref="AN2" authorId="0" shapeId="0" xr:uid="{00000000-0006-0000-0300-000018000000}">
      <text>
        <r>
          <rPr>
            <sz val="8"/>
            <color indexed="8"/>
            <rFont val="Tahoma"/>
            <family val="2"/>
          </rPr>
          <t xml:space="preserve">Longitud total de la estaca
(incluyendo parte enterrada).
Para estaca ampliada, sólo longitud del último tramo.
</t>
        </r>
        <r>
          <rPr>
            <b/>
            <sz val="8"/>
            <color indexed="8"/>
            <rFont val="Tahoma"/>
            <family val="2"/>
          </rPr>
          <t>Sólo usar fórmula para estacas inclinadas en zona de ablación.</t>
        </r>
      </text>
    </comment>
    <comment ref="AP2" authorId="0" shapeId="0" xr:uid="{00000000-0006-0000-0300-000019000000}">
      <text>
        <r>
          <rPr>
            <sz val="8"/>
            <color indexed="8"/>
            <rFont val="Tahoma"/>
            <family val="2"/>
          </rPr>
          <t>Nombres de ficheros de imagen asociados a esta medida (esquemas, fotos).</t>
        </r>
      </text>
    </comment>
    <comment ref="AQ2" authorId="0" shapeId="0" xr:uid="{00000000-0006-0000-0300-00001A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vertical (si estuviera inclinada, tras devolverla virtualmente a la posición vertical).</t>
        </r>
      </text>
    </comment>
    <comment ref="AR2" authorId="0" shapeId="0" xr:uid="{00000000-0006-0000-0300-00001B000000}">
      <text>
        <r>
          <rPr>
            <sz val="8"/>
            <color indexed="8"/>
            <rFont val="Tahoma"/>
            <family val="2"/>
          </rPr>
          <t xml:space="preserve">Easting UTM del extremo superior de la estaca.
</t>
        </r>
      </text>
    </comment>
    <comment ref="AS2" authorId="0" shapeId="0" xr:uid="{00000000-0006-0000-0300-00001C000000}">
      <text>
        <r>
          <rPr>
            <sz val="8"/>
            <color indexed="8"/>
            <rFont val="Tahoma"/>
            <family val="2"/>
          </rPr>
          <t xml:space="preserve">Northing UTM del extremo superior de la estaca.
</t>
        </r>
      </text>
    </comment>
    <comment ref="AT2" authorId="0" shapeId="0" xr:uid="{00000000-0006-0000-0300-00001D000000}">
      <text>
        <r>
          <rPr>
            <sz val="8"/>
            <color indexed="8"/>
            <rFont val="Tahoma"/>
            <family val="2"/>
          </rPr>
          <t xml:space="preserve">Altitud sobre elipsoide WGS84 del extremo superior de la estaca.
</t>
        </r>
      </text>
    </comment>
    <comment ref="AU2" authorId="0" shapeId="0" xr:uid="{00000000-0006-0000-0300-00001E000000}">
      <text>
        <r>
          <rPr>
            <sz val="8"/>
            <color indexed="8"/>
            <rFont val="Tahoma"/>
            <family val="2"/>
          </rPr>
          <t>¿Medida en cuarentena?
Especificar SÍ si se tiene alguna duda sobre la exactitud de la medida.
De ser así, especificar en celda de comentarios la razón de la duda.</t>
        </r>
      </text>
    </comment>
    <comment ref="AX2" authorId="0" shapeId="0" xr:uid="{00000000-0006-0000-0300-00001F000000}">
      <text>
        <r>
          <rPr>
            <sz val="8"/>
            <color indexed="8"/>
            <rFont val="Tahoma"/>
            <family val="2"/>
          </rPr>
          <t>Ángulo de inclinación (de 0 a 90º) de la superficie del glaciar en la dirección de inclinación de la estaca.</t>
        </r>
      </text>
    </comment>
    <comment ref="A5" authorId="0" shapeId="0" xr:uid="{00000000-0006-0000-0300-000020000000}">
      <text>
        <r>
          <rPr>
            <sz val="8"/>
            <color indexed="8"/>
            <rFont val="Tahoma"/>
            <family val="2"/>
          </rPr>
          <t>EJ01=EH01 (ver allí)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00000000-0006-0000-0400-000001000000}">
      <text>
        <r>
          <rPr>
            <sz val="8"/>
            <color indexed="8"/>
            <rFont val="Tahoma"/>
            <family val="2"/>
          </rPr>
          <t xml:space="preserve">Formato 20xx-20yy
</t>
        </r>
      </text>
    </comment>
    <comment ref="C1" authorId="0" shapeId="0" xr:uid="{00000000-0006-0000-0400-000002000000}">
      <text>
        <r>
          <rPr>
            <sz val="8"/>
            <color indexed="8"/>
            <rFont val="Tahoma"/>
            <family val="2"/>
          </rPr>
          <t>Indicador del orden secuencial (a, b, c, ...) de esta  tanda de medidas de estacas dentro de la campaña en curso</t>
        </r>
      </text>
    </comment>
    <comment ref="E1" authorId="0" shapeId="0" xr:uid="{00000000-0006-0000-0400-000003000000}">
      <text>
        <r>
          <rPr>
            <sz val="8"/>
            <color indexed="8"/>
            <rFont val="Tahoma"/>
            <family val="2"/>
          </rPr>
          <t xml:space="preserve">Nombre del operador
</t>
        </r>
      </text>
    </comment>
    <comment ref="G1" authorId="0" shapeId="0" xr:uid="{00000000-0006-0000-0400-000004000000}">
      <text>
        <r>
          <rPr>
            <sz val="8"/>
            <color indexed="8"/>
            <rFont val="Tahoma"/>
            <family val="2"/>
          </rPr>
          <t xml:space="preserve">Marca y modelo de equipos base, rover y data controller.
E.g. Trimble 5700 (Base&amp;Rover) con Data Controller TSC2.
</t>
        </r>
      </text>
    </comment>
    <comment ref="L1" authorId="0" shapeId="0" xr:uid="{00000000-0006-0000-0400-000005000000}">
      <text>
        <r>
          <rPr>
            <sz val="8"/>
            <color indexed="8"/>
            <rFont val="Tahoma"/>
            <family val="2"/>
          </rPr>
          <t xml:space="preserve">Easting UTM, Northing UTM y altitud WGS84 de pto. referencia fijo (convenio propio).
</t>
        </r>
      </text>
    </comment>
    <comment ref="O1" authorId="0" shapeId="0" xr:uid="{00000000-0006-0000-0400-000006000000}">
      <text>
        <r>
          <rPr>
            <b/>
            <sz val="9"/>
            <color indexed="8"/>
            <rFont val="Tahoma"/>
            <family val="2"/>
          </rPr>
          <t xml:space="preserve">Paco:
</t>
        </r>
        <r>
          <rPr>
            <sz val="9"/>
            <color indexed="8"/>
            <rFont val="Tahoma"/>
            <family val="2"/>
          </rPr>
          <t>Se restan 11 cm para equipararlas al histórico hasta la campaña 2014-15, que tenía Z0 11 cm por debajo del Zr habitual (el pto. ref. BAE).</t>
        </r>
      </text>
    </comment>
    <comment ref="B2" authorId="0" shapeId="0" xr:uid="{00000000-0006-0000-0400-000007000000}">
      <text>
        <r>
          <rPr>
            <sz val="8"/>
            <color indexed="8"/>
            <rFont val="Tahoma"/>
            <family val="2"/>
          </rPr>
          <t>Fecha de la medida inmediatamente posterior al mantenimiento.</t>
        </r>
      </text>
    </comment>
    <comment ref="C2" authorId="0" shapeId="0" xr:uid="{00000000-0006-0000-0400-000008000000}">
      <text>
        <r>
          <rPr>
            <sz val="8"/>
            <color indexed="8"/>
            <rFont val="Tahoma"/>
            <family val="2"/>
          </rPr>
          <t>Hora de la medida inmediatamente posterior al mantenimiento.</t>
        </r>
      </text>
    </comment>
    <comment ref="D2" authorId="0" shapeId="0" xr:uid="{00000000-0006-0000-0400-000009000000}">
      <text>
        <r>
          <rPr>
            <sz val="8"/>
            <color indexed="8"/>
            <rFont val="Tahoma"/>
            <family val="2"/>
          </rPr>
          <t>Dejar SÍ, si se trata de una medida inmediatamente posterior a mantenimiento.
En caso contrario (fila vacía de datos), borrar el SÍ.</t>
        </r>
      </text>
    </comment>
    <comment ref="E2" authorId="0" shapeId="0" xr:uid="{00000000-0006-0000-0400-00000A000000}">
      <text>
        <r>
          <rPr>
            <sz val="8"/>
            <color indexed="8"/>
            <rFont val="Tahoma"/>
            <family val="2"/>
          </rPr>
          <t>Sólo rellenar si Mto.=Sí
Fecha de la medida previa al mantenimiento, en hoja  asociada.</t>
        </r>
      </text>
    </comment>
    <comment ref="F2" authorId="0" shapeId="0" xr:uid="{00000000-0006-0000-0400-00000B000000}">
      <text>
        <r>
          <rPr>
            <sz val="8"/>
            <color indexed="8"/>
            <rFont val="Tahoma"/>
            <family val="2"/>
          </rPr>
          <t>Sólo rellenar si Mto.=Sí
Hora de la medida previa al mantenimiento, en hoja  asociada.</t>
        </r>
      </text>
    </comment>
    <comment ref="G2" authorId="0" shapeId="0" xr:uid="{00000000-0006-0000-0400-00000C000000}">
      <text>
        <r>
          <rPr>
            <sz val="8"/>
            <color indexed="8"/>
            <rFont val="Tahoma"/>
            <family val="2"/>
          </rPr>
          <t xml:space="preserve">Nombre del fichero fuente Trimble (.dc/.job) del que proviene la medida GPS.
</t>
        </r>
      </text>
    </comment>
    <comment ref="H2" authorId="0" shapeId="0" xr:uid="{00000000-0006-0000-0400-00000D000000}">
      <text>
        <r>
          <rPr>
            <sz val="8"/>
            <color indexed="8"/>
            <rFont val="Tahoma"/>
            <family val="2"/>
          </rPr>
          <t xml:space="preserve">Easting UTM del punto de ubicación de antena DGPS.
</t>
        </r>
      </text>
    </comment>
    <comment ref="I2" authorId="0" shapeId="0" xr:uid="{00000000-0006-0000-0400-00000E000000}">
      <text>
        <r>
          <rPr>
            <sz val="8"/>
            <color indexed="8"/>
            <rFont val="Tahoma"/>
            <family val="2"/>
          </rPr>
          <t>Northing UTM del punto de ubicación de antena DGPS.</t>
        </r>
      </text>
    </comment>
    <comment ref="J2" authorId="0" shapeId="0" xr:uid="{00000000-0006-0000-0400-00000F000000}">
      <text>
        <r>
          <rPr>
            <sz val="8"/>
            <color indexed="8"/>
            <rFont val="Tahoma"/>
            <family val="2"/>
          </rPr>
          <t>Altitud sobre elipsoide WGS84 del punto de ubicación de antena DGPS.</t>
        </r>
      </text>
    </comment>
    <comment ref="K2" authorId="0" shapeId="0" xr:uid="{00000000-0006-0000-0400-000010000000}">
      <text>
        <r>
          <rPr>
            <sz val="8"/>
            <color indexed="8"/>
            <rFont val="Tahoma"/>
            <family val="2"/>
          </rPr>
          <t>Código (propio nuestro) punto DGPS:
RTK=Real Time Kinematics,
RTCM=Estándar de la "Radio Technical Commission for Maritime Services",
PP=Post-proceso.</t>
        </r>
      </text>
    </comment>
    <comment ref="L2" authorId="0" shapeId="0" xr:uid="{00000000-0006-0000-0400-000011000000}">
      <text>
        <r>
          <rPr>
            <sz val="8"/>
            <color indexed="8"/>
            <rFont val="Tahoma"/>
            <family val="2"/>
          </rPr>
          <t xml:space="preserve">Altura de la base de la antena DGPS respecto al punto que se desea medir (en nuestro caso, la parte superior de la estaca de medida -sea la estaca real o la auxiliar).
</t>
        </r>
      </text>
    </comment>
    <comment ref="M2" authorId="0" shapeId="0" xr:uid="{00000000-0006-0000-0400-000012000000}">
      <text>
        <r>
          <rPr>
            <sz val="8"/>
            <color indexed="8"/>
            <rFont val="Tahoma"/>
            <family val="2"/>
          </rPr>
          <t>Easting UTM del punto base DGPS respecto al que se ha tomado la medida.</t>
        </r>
      </text>
    </comment>
    <comment ref="N2" authorId="0" shapeId="0" xr:uid="{00000000-0006-0000-0400-000013000000}">
      <text>
        <r>
          <rPr>
            <sz val="8"/>
            <color indexed="8"/>
            <rFont val="Tahoma"/>
            <family val="2"/>
          </rPr>
          <t>Northing UTM del punto base DGPS respecto al que se ha tomado la medida.</t>
        </r>
      </text>
    </comment>
    <comment ref="O2" authorId="0" shapeId="0" xr:uid="{00000000-0006-0000-0400-000014000000}">
      <text>
        <r>
          <rPr>
            <sz val="8"/>
            <color indexed="8"/>
            <rFont val="Tahoma"/>
            <family val="2"/>
          </rPr>
          <t>Altitud sobre el elipsoide WGS84 del punto base DGPS respecto al que se ha tomado la medida.</t>
        </r>
      </text>
    </comment>
    <comment ref="Q2" authorId="0" shapeId="0" xr:uid="{00000000-0006-0000-0400-000015000000}">
      <text>
        <r>
          <rPr>
            <sz val="8"/>
            <color indexed="8"/>
            <rFont val="Tahoma"/>
            <family val="2"/>
          </rPr>
          <t>Distancia desde nivel de la superficie de la nieve hasta el extremo superior de la estaca real, esté vertical o inclinada (positivo para estaca que aflora; negativo para estaca hundida).</t>
        </r>
      </text>
    </comment>
    <comment ref="R2" authorId="0" shapeId="0" xr:uid="{00000000-0006-0000-0400-000016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en la que se efectúa la medida DGPS, sea la propia estaca o una estaca auxiliar (DEBE SER SIEMPRE POSITIVO, para que la antena "vea" a los satélites).</t>
        </r>
      </text>
    </comment>
    <comment ref="S2" authorId="0" shapeId="0" xr:uid="{00000000-0006-0000-0400-000017000000}">
      <text>
        <r>
          <rPr>
            <sz val="8"/>
            <color indexed="8"/>
            <rFont val="Tahoma"/>
            <family val="2"/>
          </rPr>
          <t>Ángulo de elevación (de 0 a 90º) de la estaca respecto a la horizontal. Es el complementario del ángulo cenital (o desviación respecto a la vertical).</t>
        </r>
      </text>
    </comment>
    <comment ref="T2" authorId="0" shapeId="0" xr:uid="{00000000-0006-0000-0400-000018000000}">
      <text>
        <r>
          <rPr>
            <sz val="8"/>
            <color indexed="8"/>
            <rFont val="Tahoma"/>
            <family val="2"/>
          </rPr>
          <t>Rumbo (0 a 360º) de la estaca inclinada, medido desde el norte magnético en sentido de las agujas del reloj (denominado retrógrado).</t>
        </r>
      </text>
    </comment>
    <comment ref="AM2" authorId="0" shapeId="0" xr:uid="{00000000-0006-0000-0400-000019000000}">
      <text>
        <r>
          <rPr>
            <sz val="8"/>
            <color indexed="8"/>
            <rFont val="Tahoma"/>
            <family val="2"/>
          </rPr>
          <t xml:space="preserve">Espesor medio de nieve junto a la estaca (medido con sonda de nieve).
Calculado como media de los valores en "H usados en media"
</t>
        </r>
        <r>
          <rPr>
            <b/>
            <sz val="8"/>
            <color indexed="8"/>
            <rFont val="Tahoma"/>
            <family val="2"/>
          </rPr>
          <t>OJO:</t>
        </r>
        <r>
          <rPr>
            <sz val="8"/>
            <color indexed="8"/>
            <rFont val="Tahoma"/>
            <family val="2"/>
          </rPr>
          <t xml:space="preserve"> cambiar la fórmula (ojo con cociente) en función del número de valores relleno.</t>
        </r>
      </text>
    </comment>
    <comment ref="AN2" authorId="0" shapeId="0" xr:uid="{00000000-0006-0000-0400-00001A000000}">
      <text>
        <r>
          <rPr>
            <sz val="8"/>
            <color indexed="8"/>
            <rFont val="Tahoma"/>
            <family val="2"/>
          </rPr>
          <t xml:space="preserve">Longitud total de la estaca
(incluyendo parte enterrada).
Para estaca ampliada, sólo longitud del último tramo.
</t>
        </r>
        <r>
          <rPr>
            <b/>
            <sz val="8"/>
            <color indexed="8"/>
            <rFont val="Tahoma"/>
            <family val="2"/>
          </rPr>
          <t>Sólo usar fórmula para estacas inclinadas en zona de ablación.</t>
        </r>
      </text>
    </comment>
    <comment ref="AP2" authorId="0" shapeId="0" xr:uid="{00000000-0006-0000-0400-00001B000000}">
      <text>
        <r>
          <rPr>
            <sz val="8"/>
            <color indexed="8"/>
            <rFont val="Tahoma"/>
            <family val="2"/>
          </rPr>
          <t>Nombres de ficheros de imagen asociados a esta medida (esquemas, fotos).</t>
        </r>
      </text>
    </comment>
    <comment ref="AQ2" authorId="0" shapeId="0" xr:uid="{00000000-0006-0000-0400-00001C000000}">
      <text>
        <r>
          <rPr>
            <sz val="8"/>
            <color indexed="8"/>
            <rFont val="Tahoma"/>
            <family val="2"/>
          </rPr>
          <t>Distancia desde el nivel de la superficie de la nieve hasta el extremo superior de la estaca vertical (si estuviera inclinada, tras devolverla virtualmente a la posición vertical).</t>
        </r>
      </text>
    </comment>
    <comment ref="AR2" authorId="0" shapeId="0" xr:uid="{00000000-0006-0000-0400-00001D000000}">
      <text>
        <r>
          <rPr>
            <sz val="8"/>
            <color indexed="8"/>
            <rFont val="Tahoma"/>
            <family val="2"/>
          </rPr>
          <t xml:space="preserve">Easting UTM del extremo superior de la estaca.
</t>
        </r>
      </text>
    </comment>
    <comment ref="AS2" authorId="0" shapeId="0" xr:uid="{00000000-0006-0000-0400-00001E000000}">
      <text>
        <r>
          <rPr>
            <sz val="8"/>
            <color indexed="8"/>
            <rFont val="Tahoma"/>
            <family val="2"/>
          </rPr>
          <t xml:space="preserve">Northing UTM del extremo superior de la estaca.
</t>
        </r>
      </text>
    </comment>
    <comment ref="AT2" authorId="0" shapeId="0" xr:uid="{00000000-0006-0000-0400-00001F000000}">
      <text>
        <r>
          <rPr>
            <sz val="8"/>
            <color indexed="8"/>
            <rFont val="Tahoma"/>
            <family val="2"/>
          </rPr>
          <t xml:space="preserve">Altitud sobre elipsoide WGS84 del extremo superior de la estaca.
</t>
        </r>
      </text>
    </comment>
    <comment ref="AU2" authorId="0" shapeId="0" xr:uid="{00000000-0006-0000-0400-000020000000}">
      <text>
        <r>
          <rPr>
            <sz val="8"/>
            <color indexed="8"/>
            <rFont val="Tahoma"/>
            <family val="2"/>
          </rPr>
          <t>¿Medida en cuarentena?
Especificar SÍ si se tiene alguna duda sobre la exactitud de la medida.
De ser así, especificar en celda de comentarios la razón de la duda.</t>
        </r>
      </text>
    </comment>
    <comment ref="AW2" authorId="0" shapeId="0" xr:uid="{00000000-0006-0000-0400-000021000000}">
      <text>
        <r>
          <rPr>
            <sz val="8"/>
            <color indexed="8"/>
            <rFont val="Tahoma"/>
            <family val="2"/>
          </rPr>
          <t>Delta_h=h_después-h_antes, cambio de la longitud de la estaca (positivo, si extensión; negativo, si replantado).
Sólo se calcula en la hoja de mantenimiento.</t>
        </r>
      </text>
    </comment>
    <comment ref="AX2" authorId="0" shapeId="0" xr:uid="{00000000-0006-0000-0400-000022000000}">
      <text>
        <r>
          <rPr>
            <sz val="8"/>
            <color indexed="8"/>
            <rFont val="Tahoma"/>
            <family val="2"/>
          </rPr>
          <t>Ángulo de inclinación (de 0 a 90º) de la superficie del glaciar en la dirección de inclinación de la estaca.</t>
        </r>
      </text>
    </comment>
    <comment ref="A5" authorId="0" shapeId="0" xr:uid="{00000000-0006-0000-0400-000023000000}">
      <text>
        <r>
          <rPr>
            <sz val="8"/>
            <color indexed="8"/>
            <rFont val="Tahoma"/>
            <family val="2"/>
          </rPr>
          <t>EJ01=EH01 (ver allí)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00000000-0006-0000-0500-000001000000}">
      <text>
        <r>
          <rPr>
            <sz val="8"/>
            <color indexed="8"/>
            <rFont val="Tahoma"/>
            <family val="2"/>
          </rPr>
          <t xml:space="preserve">Formato 20xx-20yy
</t>
        </r>
      </text>
    </comment>
    <comment ref="C1" authorId="0" shapeId="0" xr:uid="{00000000-0006-0000-0500-000002000000}">
      <text>
        <r>
          <rPr>
            <sz val="8"/>
            <color indexed="8"/>
            <rFont val="Tahoma"/>
            <family val="2"/>
          </rPr>
          <t>Indicador del orden secuencial (a, b, c, ...) de esta  tanda de medidas de estacas dentro de la campaña en curso</t>
        </r>
      </text>
    </comment>
    <comment ref="E1" authorId="0" shapeId="0" xr:uid="{00000000-0006-0000-0500-000003000000}">
      <text>
        <r>
          <rPr>
            <sz val="8"/>
            <color indexed="8"/>
            <rFont val="Tahoma"/>
            <family val="2"/>
          </rPr>
          <t xml:space="preserve">Nombre del operador
</t>
        </r>
      </text>
    </comment>
    <comment ref="G1" authorId="0" shapeId="0" xr:uid="{00000000-0006-0000-0500-000004000000}">
      <text>
        <r>
          <rPr>
            <sz val="8"/>
            <color indexed="8"/>
            <rFont val="Tahoma"/>
            <family val="2"/>
          </rPr>
          <t xml:space="preserve">Marca y modelo de equipos base, rover y data controller.
E.g. Trimble 5700 (Base&amp;Rover) con Data Controller TSC2.
</t>
        </r>
      </text>
    </comment>
    <comment ref="D2" authorId="0" shapeId="0" xr:uid="{00000000-0006-0000-0500-000005000000}">
      <text>
        <r>
          <rPr>
            <sz val="8"/>
            <color indexed="8"/>
            <rFont val="Tahoma"/>
            <family val="2"/>
          </rPr>
          <t xml:space="preserve">Nombre del fichero fuente Trimble (.dc/.job) del que proviene la medida GPS.
</t>
        </r>
      </text>
    </comment>
    <comment ref="E2" authorId="0" shapeId="0" xr:uid="{00000000-0006-0000-0500-000006000000}">
      <text>
        <r>
          <rPr>
            <sz val="8"/>
            <color indexed="8"/>
            <rFont val="Tahoma"/>
            <family val="2"/>
          </rPr>
          <t xml:space="preserve">Easting UTM del punto de ubicación de antena DGPS.
</t>
        </r>
      </text>
    </comment>
    <comment ref="F2" authorId="0" shapeId="0" xr:uid="{00000000-0006-0000-0500-000007000000}">
      <text>
        <r>
          <rPr>
            <sz val="8"/>
            <color indexed="8"/>
            <rFont val="Tahoma"/>
            <family val="2"/>
          </rPr>
          <t>Northing UTM del punto de ubicación de antena DGPS.</t>
        </r>
      </text>
    </comment>
    <comment ref="G2" authorId="0" shapeId="0" xr:uid="{00000000-0006-0000-0500-000008000000}">
      <text>
        <r>
          <rPr>
            <sz val="8"/>
            <color indexed="8"/>
            <rFont val="Tahoma"/>
            <family val="2"/>
          </rPr>
          <t>Altitud sobre elipsoide WGS84 del punto de ubicación de antena DGPS.</t>
        </r>
      </text>
    </comment>
    <comment ref="H2" authorId="0" shapeId="0" xr:uid="{00000000-0006-0000-0500-000009000000}">
      <text>
        <r>
          <rPr>
            <sz val="8"/>
            <color indexed="8"/>
            <rFont val="Tahoma"/>
            <family val="2"/>
          </rPr>
          <t>Código (propio nuestro) punto DGPS:
RTK=Real Time Kinematics,
RTCM=Estándar de la "Radio Technical Commission for Maritime Services",
PP=Post-proceso.</t>
        </r>
      </text>
    </comment>
    <comment ref="I2" authorId="0" shapeId="0" xr:uid="{00000000-0006-0000-0500-00000A000000}">
      <text>
        <r>
          <rPr>
            <sz val="8"/>
            <color indexed="8"/>
            <rFont val="Tahoma"/>
            <family val="2"/>
          </rPr>
          <t xml:space="preserve">Altura de la base de la antena DGPS respecto al punto que se desea medir (en nuestro caso, la parte superior de la estaca de medida -sea la estaca real o la auxiliar).
</t>
        </r>
      </text>
    </comment>
    <comment ref="J2" authorId="0" shapeId="0" xr:uid="{00000000-0006-0000-0500-00000B000000}">
      <text>
        <r>
          <rPr>
            <sz val="8"/>
            <color indexed="8"/>
            <rFont val="Tahoma"/>
            <family val="2"/>
          </rPr>
          <t>Easting UTM del punto base DGPS respecto al que se ha tomado la medida.</t>
        </r>
      </text>
    </comment>
    <comment ref="K2" authorId="0" shapeId="0" xr:uid="{00000000-0006-0000-0500-00000C000000}">
      <text>
        <r>
          <rPr>
            <sz val="8"/>
            <color indexed="8"/>
            <rFont val="Tahoma"/>
            <family val="2"/>
          </rPr>
          <t>Northing UTM del punto base DGPS respecto al que se ha tomado la medida.</t>
        </r>
      </text>
    </comment>
    <comment ref="L2" authorId="0" shapeId="0" xr:uid="{00000000-0006-0000-0500-00000D000000}">
      <text>
        <r>
          <rPr>
            <sz val="8"/>
            <color indexed="8"/>
            <rFont val="Tahoma"/>
            <family val="2"/>
          </rPr>
          <t>Altitud sobre el elipsoide WGS84 del punto base DGPS respecto al que se ha tomado la medida.</t>
        </r>
      </text>
    </comment>
    <comment ref="N2" authorId="0" shapeId="0" xr:uid="{00000000-0006-0000-0500-00000E000000}">
      <text>
        <r>
          <rPr>
            <sz val="8"/>
            <color indexed="8"/>
            <rFont val="Tahoma"/>
            <family val="2"/>
          </rPr>
          <t xml:space="preserve">Easting UTM del extremo superior de la estaca.
</t>
        </r>
      </text>
    </comment>
    <comment ref="O2" authorId="0" shapeId="0" xr:uid="{00000000-0006-0000-0500-00000F000000}">
      <text>
        <r>
          <rPr>
            <sz val="8"/>
            <color indexed="8"/>
            <rFont val="Tahoma"/>
            <family val="2"/>
          </rPr>
          <t xml:space="preserve">Northing UTM del extremo superior de la estaca.
</t>
        </r>
      </text>
    </comment>
    <comment ref="P2" authorId="0" shapeId="0" xr:uid="{00000000-0006-0000-0500-000010000000}">
      <text>
        <r>
          <rPr>
            <sz val="8"/>
            <color indexed="8"/>
            <rFont val="Tahoma"/>
            <family val="2"/>
          </rPr>
          <t xml:space="preserve">Altitud sobre elipsoide WGS84 del extremo superior de la estaca.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1" authorId="0" shapeId="0" xr:uid="{00000000-0006-0000-0600-000001000000}">
      <text>
        <r>
          <rPr>
            <sz val="8"/>
            <color indexed="8"/>
            <rFont val="Tahoma"/>
            <family val="2"/>
          </rPr>
          <t xml:space="preserve">Easting UTM del punto de ubicación de antena DGPS para estacas inclinadas sepultadas medidas con metodología no estándar propia de este caso.
</t>
        </r>
      </text>
    </comment>
    <comment ref="C1" authorId="0" shapeId="0" xr:uid="{00000000-0006-0000-0600-000002000000}">
      <text>
        <r>
          <rPr>
            <sz val="8"/>
            <color indexed="8"/>
            <rFont val="Tahoma"/>
            <family val="2"/>
          </rPr>
          <t>Northing UTM del punto de ubicación de antena DGPS para estacas inclinadas sepultadas medidas con metodología no estándar propia de este caso.</t>
        </r>
      </text>
    </comment>
    <comment ref="D1" authorId="0" shapeId="0" xr:uid="{00000000-0006-0000-0600-000003000000}">
      <text>
        <r>
          <rPr>
            <sz val="8"/>
            <color indexed="8"/>
            <rFont val="Tahoma"/>
            <family val="2"/>
          </rPr>
          <t>Altitud sobre elipsoide WGS84 del punto de ubicación de antena DGPSpara estacas inclinadas sepultadas medidas con metodología no estándar propia de este caso.</t>
        </r>
      </text>
    </comment>
    <comment ref="E1" authorId="0" shapeId="0" xr:uid="{00000000-0006-0000-0600-000004000000}">
      <text>
        <r>
          <rPr>
            <sz val="8"/>
            <color indexed="8"/>
            <rFont val="Tahoma"/>
            <family val="2"/>
          </rPr>
          <t>Ángulo de elevación (de 0 a 90º) de la estaca respecto a la horizontal. Es el complementario del ángulo cenital (o desviación respecto a la vertical).</t>
        </r>
      </text>
    </comment>
    <comment ref="F1" authorId="0" shapeId="0" xr:uid="{00000000-0006-0000-0600-000005000000}">
      <text>
        <r>
          <rPr>
            <sz val="8"/>
            <color indexed="8"/>
            <rFont val="Tahoma"/>
            <family val="2"/>
          </rPr>
          <t>Rumbo (0 a 360º) de la estaca inclinada, medido desde el norte magnético en sentido de las agujas del reloj (denominado retrógrado).</t>
        </r>
      </text>
    </comment>
    <comment ref="G1" authorId="0" shapeId="0" xr:uid="{00000000-0006-0000-0600-000006000000}">
      <text>
        <r>
          <rPr>
            <sz val="8"/>
            <color indexed="8"/>
            <rFont val="Tahoma"/>
            <family val="2"/>
          </rPr>
          <t>Distancia VERTICAL NEGATIVA desde el nivel de la superficie de la nieve hasta el extremo superior de la estaca inclinada y hundida.</t>
        </r>
      </text>
    </comment>
    <comment ref="H1" authorId="0" shapeId="0" xr:uid="{00000000-0006-0000-0600-000007000000}">
      <text>
        <r>
          <rPr>
            <sz val="8"/>
            <color indexed="8"/>
            <rFont val="Tahoma"/>
            <family val="2"/>
          </rPr>
          <t>Distancia VERTICAL desde nivel de la superficie de la nieve hasta el extremo superior de la estaca auxiliar de medida (vertical) que intersecta con el extremo superior de la  inclinada y hundida (debería aflorar y ser positivo).</t>
        </r>
      </text>
    </comment>
    <comment ref="I1" authorId="0" shapeId="0" xr:uid="{00000000-0006-0000-0600-000008000000}">
      <text>
        <r>
          <rPr>
            <sz val="8"/>
            <color indexed="8"/>
            <rFont val="Tahoma"/>
            <family val="2"/>
          </rPr>
          <t>Ángulo de inclinación (de 0 a 90º) de la superficie del glaciar en la dirección de inclinación de la estaca.</t>
        </r>
      </text>
    </comment>
    <comment ref="J1" authorId="0" shapeId="0" xr:uid="{00000000-0006-0000-0600-000009000000}">
      <text>
        <r>
          <rPr>
            <sz val="8"/>
            <color indexed="8"/>
            <rFont val="Tahoma"/>
            <family val="2"/>
          </rPr>
          <t>Valor a copiar al de mismo nombre de la hoja de estacas. ATENCIÓN: USAR COPIAR -&gt; PEGADO ESPECIAL -&gt; VALORES</t>
        </r>
      </text>
    </comment>
    <comment ref="K1" authorId="0" shapeId="0" xr:uid="{00000000-0006-0000-0600-00000A000000}">
      <text>
        <r>
          <rPr>
            <sz val="8"/>
            <color indexed="8"/>
            <rFont val="Tahoma"/>
            <family val="2"/>
          </rPr>
          <t>Valor a copiar al de mismo nombre de la hoja de estacas. ATENCIÓN: USAR COPIAR -&gt; PEGADO ESPECIAL -&gt; VALORES</t>
        </r>
      </text>
    </comment>
    <comment ref="L1" authorId="0" shapeId="0" xr:uid="{00000000-0006-0000-0600-00000B000000}">
      <text>
        <r>
          <rPr>
            <sz val="8"/>
            <color indexed="8"/>
            <rFont val="Tahoma"/>
            <family val="2"/>
          </rPr>
          <t>Valor a copiar al de mismo nombre de la hoja de estacas. ATENCIÓN: USAR COPIAR -&gt; PEGADO ESPECIAL -&gt; VALORES</t>
        </r>
      </text>
    </comment>
    <comment ref="M1" authorId="0" shapeId="0" xr:uid="{00000000-0006-0000-0600-00000C000000}">
      <text>
        <r>
          <rPr>
            <sz val="8"/>
            <color indexed="8"/>
            <rFont val="Tahoma"/>
            <family val="2"/>
          </rPr>
          <t>Valor a copiar al de mismo nombre de la hoja de estacas. ATENCIÓN: USAR COPIAR -&gt; PEGADO ESPECIAL -&gt; VALORES</t>
        </r>
      </text>
    </comment>
    <comment ref="N1" authorId="0" shapeId="0" xr:uid="{00000000-0006-0000-0600-00000D000000}">
      <text>
        <r>
          <rPr>
            <sz val="8"/>
            <color indexed="8"/>
            <rFont val="Tahoma"/>
            <family val="2"/>
          </rPr>
          <t>Valor a copiar al de mismo nombre de la hoja de estacas. ATENCIÓN: USAR COPIAR -&gt; PEGADO ESPECIAL -&gt; VALORES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C3" authorId="0" shapeId="0" xr:uid="{00000000-0006-0000-0700-000001000000}">
      <text>
        <r>
          <rPr>
            <sz val="12"/>
            <color indexed="8"/>
            <rFont val="Tahoma"/>
            <family val="2"/>
          </rPr>
          <t>Distancia desde nivel de la superficie de la nieve hasta el extremo superior de la estaca real, esté vertical o inclinada (positivo para estaca que aflora; negativo para estaca hundida).</t>
        </r>
      </text>
    </comment>
    <comment ref="D3" authorId="0" shapeId="0" xr:uid="{00000000-0006-0000-0700-000002000000}">
      <text>
        <r>
          <rPr>
            <sz val="12"/>
            <color indexed="8"/>
            <rFont val="Tahoma"/>
            <family val="2"/>
          </rPr>
          <t>Distancia desde el nivel de la superficie de la nieve hasta el extremo superior de la estaca en la que se efectúa la medida DGPS, sea la propia estaca o una estaca auxiliar (DEBE SER SIEMPRE POSITIVO, para que la antena "vea" a los satélites).</t>
        </r>
      </text>
    </comment>
    <comment ref="E3" authorId="0" shapeId="0" xr:uid="{00000000-0006-0000-0700-000003000000}">
      <text>
        <r>
          <rPr>
            <sz val="12"/>
            <color indexed="8"/>
            <rFont val="Tahoma"/>
            <family val="2"/>
          </rPr>
          <t xml:space="preserve">Ángulo de elevación respeco a la horizontal, en grados (complementario de desviación respecto a la vertical). </t>
        </r>
      </text>
    </comment>
    <comment ref="F3" authorId="0" shapeId="0" xr:uid="{00000000-0006-0000-0700-000004000000}">
      <text>
        <r>
          <rPr>
            <sz val="12"/>
            <color indexed="8"/>
            <rFont val="Tahoma"/>
            <family val="2"/>
          </rPr>
          <t>Azimut magnético (en grados) de la estaca inclinada, medido desde el norte magnético en sentido de las agujas del reloj.</t>
        </r>
      </text>
    </comment>
    <comment ref="G3" authorId="0" shapeId="0" xr:uid="{00000000-0006-0000-0700-000005000000}">
      <text>
        <r>
          <rPr>
            <sz val="12"/>
            <color indexed="8"/>
            <rFont val="Tahoma"/>
            <family val="2"/>
          </rPr>
          <t>Pendiente (en grados) de la superficie del glaciar en la dirección de la inclinación de la estaca (sólo necesario para estacas inclinadas en zonas de pendiente apreciable de la superficie).</t>
        </r>
      </text>
    </comment>
    <comment ref="H3" authorId="0" shapeId="0" xr:uid="{00000000-0006-0000-0700-000006000000}">
      <text>
        <r>
          <rPr>
            <sz val="12"/>
            <color indexed="8"/>
            <rFont val="Tahoma"/>
            <family val="2"/>
          </rPr>
          <t>Espesor de nieve junto a la estaca (medido con sonda de nieve).
Tomar al menos cinco valores, si son parecidos, e incluso más si no lo son.</t>
        </r>
      </text>
    </comment>
    <comment ref="I3" authorId="0" shapeId="0" xr:uid="{00000000-0006-0000-0700-000007000000}">
      <text>
        <r>
          <rPr>
            <sz val="12"/>
            <color indexed="8"/>
            <rFont val="Tahoma"/>
            <family val="2"/>
          </rPr>
          <t>Longitud total de la estaca
(incluyendo parte enterrada).
Para estaca ampliada, sólo longitud del último tramo.</t>
        </r>
      </text>
    </comment>
    <comment ref="J3" authorId="0" shapeId="0" xr:uid="{00000000-0006-0000-0700-000008000000}">
      <text>
        <r>
          <rPr>
            <sz val="12"/>
            <color indexed="8"/>
            <rFont val="Tahoma"/>
            <family val="2"/>
          </rPr>
          <t>Por ejemplo:
Perdida (ablación), perdida (calving), etc.
Incluir valor de densidad a 0,5 m profundidad
para estacas de línea de ablación EH31-EJ06.</t>
        </r>
      </text>
    </comment>
  </commentList>
</comments>
</file>

<file path=xl/sharedStrings.xml><?xml version="1.0" encoding="utf-8"?>
<sst xmlns="http://schemas.openxmlformats.org/spreadsheetml/2006/main" count="747" uniqueCount="294">
  <si>
    <t>PARÁMETROS DE DESCARGA AUTOMÁTICA DESDE GPS</t>
  </si>
  <si>
    <r>
      <rPr>
        <b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(E-UTM)</t>
    </r>
  </si>
  <si>
    <t>Easting UTM del punto de ubicación de antena DGPS.</t>
  </si>
  <si>
    <r>
      <rPr>
        <b/>
        <sz val="10"/>
        <rFont val="Arial"/>
        <family val="2"/>
      </rPr>
      <t>Y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(N-UTM)</t>
    </r>
  </si>
  <si>
    <t>Northing UTM del punto de ubicación de antena DGPS.</t>
  </si>
  <si>
    <r>
      <rPr>
        <b/>
        <sz val="10"/>
        <rFont val="Arial"/>
        <family val="2"/>
      </rPr>
      <t>Z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(WGS84)</t>
    </r>
  </si>
  <si>
    <t>Altitud sobre elipsoide WGS84 del punto de ubicación de antena DGPS.</t>
  </si>
  <si>
    <t>Tipo punto</t>
  </si>
  <si>
    <t>Código (propio nuestro) punto DGPS:
RTK=Real Time Kinematics,
RTCM=Estándar de la "Radio Technical Commission for Maritime Services",
PP=Post-proceso.</t>
  </si>
  <si>
    <r>
      <rPr>
        <b/>
        <sz val="10"/>
        <rFont val="Symbol"/>
        <family val="1"/>
        <charset val="2"/>
      </rPr>
      <t>D</t>
    </r>
    <r>
      <rPr>
        <b/>
        <sz val="10"/>
        <rFont val="Arial"/>
        <family val="2"/>
      </rPr>
      <t xml:space="preserve"> ant</t>
    </r>
  </si>
  <si>
    <r>
      <rPr>
        <sz val="10"/>
        <rFont val="Arial"/>
        <family val="2"/>
      </rPr>
      <t xml:space="preserve">Altura de la antena DGPS respecto al punto que se desea medir (en nuestro caso, la parte superior de la estaca de medida, sea la estaca real o la auxiliar). Se utiliza para corregir por la altura del adaptador de antena o la diferencia de altura de distintos tipos de antena (en versiones anteriores, era un parámetro de descarga automática desde el GPS pero </t>
    </r>
    <r>
      <rPr>
        <b/>
        <sz val="10"/>
        <rFont val="Arial"/>
        <family val="2"/>
      </rPr>
      <t>ahora es un parámetro de anotación manual</t>
    </r>
    <r>
      <rPr>
        <sz val="10"/>
        <rFont val="Arial"/>
        <family val="2"/>
      </rPr>
      <t>; ésta es la razón de su ubicación en la hoja -se ha mantenido la original-, aunque se ha cambiado el código de color del campo, para hacerlo coincidir con el de parámetro de anotación manual).</t>
    </r>
  </si>
  <si>
    <r>
      <rPr>
        <b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(E-UTM)</t>
    </r>
  </si>
  <si>
    <t>Easting UTM del punto base DGPS respecto al que se ha tomado la medida.</t>
  </si>
  <si>
    <r>
      <rPr>
        <b/>
        <sz val="10"/>
        <rFont val="Arial"/>
        <family val="2"/>
      </rPr>
      <t>Y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(N-UTM)</t>
    </r>
  </si>
  <si>
    <t>Northing UTM del punto base DGPS respecto al que se ha tomado la medida.</t>
  </si>
  <si>
    <r>
      <rPr>
        <b/>
        <sz val="10"/>
        <rFont val="Arial"/>
        <family val="2"/>
      </rPr>
      <t>Z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(WGS84)</t>
    </r>
  </si>
  <si>
    <t>Altitud sobre el elipsoide WGS84 del punto base DGPS respecto al que se ha tomado la medida.</t>
  </si>
  <si>
    <t>PARÁMETROS MEDIDOS EN CAMPO</t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</si>
  <si>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e</t>
    </r>
    <r>
      <rPr>
        <b/>
        <sz val="10"/>
        <rFont val="Arial"/>
        <family val="2"/>
      </rPr>
      <t>(m)</t>
    </r>
  </si>
  <si>
    <t>Distancia desde el nivel de la superficie de la nieve hasta el extremo superior de la estaca real, medido a lo largo de longitud de ésta, esté vertical o inclinada (positivo para estaca que aflora; negativo para estaca hundida).</t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</si>
  <si>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(m)</t>
    </r>
  </si>
  <si>
    <t>Distancia desde el nivel de la superficie de la nieve hasta el extremo superior de la estaca en la que se efectúa la medida DGPS, sea la propia estaca o una estaca auxiliar (DEBE SER SIEMPRE POSITIVO, para que la antena "vea" a los satélites).</t>
  </si>
  <si>
    <t>e(deg)</t>
  </si>
  <si>
    <t>Ángulo de elevación (en grados sexagesimales, de 0 a 90º) de la estaca respecto a la horizontal.
Es el complementario del ángulo cenital (o desviación respecto a la vertical).</t>
  </si>
  <si>
    <r>
      <rPr>
        <b/>
        <sz val="10"/>
        <rFont val="Symbol"/>
        <family val="1"/>
        <charset val="2"/>
      </rPr>
      <t>f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(deg)</t>
    </r>
  </si>
  <si>
    <t>Rumbo (en grados sexagesimales, 0 a 360º) de la estaca inclinada, medido desde el norte magnético en sentido de las agujas del reloj (denominado retrógrado). En la hoja de cálculo se convertirá a azimut geográfico, teniendo en cuenta la declinación magnética (13º Este en Livingston, positivo a efectos de cálculo) y convergencia de cuadrícula (2,3º aprox en Johnsons.Hurd).</t>
  </si>
  <si>
    <r>
      <rPr>
        <b/>
        <sz val="10"/>
        <rFont val="Symbol"/>
        <family val="1"/>
        <charset val="2"/>
      </rPr>
      <t>a</t>
    </r>
    <r>
      <rPr>
        <b/>
        <sz val="10"/>
        <rFont val="Arial"/>
        <family val="2"/>
      </rPr>
      <t>(deg)</t>
    </r>
  </si>
  <si>
    <t>Pendiente (en grados sexagesimales, de 0 a 90º) de la superficie del glaciar en la dirección de la inclinación de la estaca (sólo necesario para estacas inclinadas en zonas de pendiente apreciable de la superficie).</t>
  </si>
  <si>
    <t>H (m)
valores individuales</t>
  </si>
  <si>
    <t xml:space="preserve">Espesor de nieve junto a la estaca, medido con sonda de nieve. Se toman varios valores, al menos cinco si son parecidos, e incluso más si difieren significativamente (los rehielos pueden falsear esta medida). Si un número de ellos tienen valores similares y otros difieren significativamente, sólo los primeros se utilizarán para la media, pero todos los valores quedarán registrados (separados en utilizados y no utilizados en la media). </t>
  </si>
  <si>
    <t>l(m)</t>
  </si>
  <si>
    <t>Longitud total de la estaca (incluyendo parte enterrada). Para estaca ampliada uniendo un tramo a una estaca existente, sólo longitud del último tramo.</t>
  </si>
  <si>
    <t>PARÁMETROS CALCULADOS AUTOMÁTICAMENTE EN LA HOJA</t>
  </si>
  <si>
    <t>H(m)</t>
  </si>
  <si>
    <t>Media de los valores del espesor de nieve H.</t>
  </si>
  <si>
    <t>Ver definición en "párámetros de anotación manual". Para estacas inclinadas en zona de ablación, si l no se conoce se estima automáticamente.</t>
  </si>
  <si>
    <t>h(m)</t>
  </si>
  <si>
    <r>
      <rPr>
        <sz val="10"/>
        <rFont val="Arial"/>
        <family val="2"/>
      </rPr>
      <t xml:space="preserve">Distancia desde el nivel de la superficie de la nieve hasta el extremo superior de la estaca </t>
    </r>
    <r>
      <rPr>
        <i/>
        <sz val="10"/>
        <rFont val="Arial"/>
        <family val="2"/>
      </rPr>
      <t>vertical</t>
    </r>
    <r>
      <rPr>
        <sz val="10"/>
        <rFont val="Arial"/>
        <family val="2"/>
      </rPr>
      <t xml:space="preserve"> (si estuviera inclinada, tras devolverla virtualmente a la posición vertical). Para estaca vertical, coincide con h</t>
    </r>
    <r>
      <rPr>
        <vertAlign val="subscript"/>
        <sz val="10"/>
        <rFont val="Arial"/>
        <family val="2"/>
      </rPr>
      <t>e</t>
    </r>
    <r>
      <rPr>
        <sz val="10"/>
        <rFont val="Arial"/>
        <family val="2"/>
      </rPr>
      <t>.</t>
    </r>
  </si>
  <si>
    <t>X,Y,Z</t>
  </si>
  <si>
    <t>Coordenadas X, (Easting) e Y (Northing) UTM y altitud, sobre el elipsoide WGS84, del extremo superior de la estaca.</t>
  </si>
  <si>
    <r>
      <rPr>
        <b/>
        <sz val="10"/>
        <rFont val="Symbol"/>
        <family val="1"/>
        <charset val="2"/>
      </rPr>
      <t>D</t>
    </r>
    <r>
      <rPr>
        <b/>
        <sz val="10"/>
        <rFont val="Arial"/>
        <family val="2"/>
      </rPr>
      <t>h (m)</t>
    </r>
  </si>
  <si>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h=h(hoja mto.)-h(hoja ordinaria), cambio de la longitud de la estaca al efectuar mantenimiento (positivo, si extensión; negativo, si replantado). Se calcula en la hoja de mantenimiento.</t>
    </r>
  </si>
  <si>
    <t>Campaña</t>
  </si>
  <si>
    <t>Tanda</t>
  </si>
  <si>
    <t>Operador</t>
  </si>
  <si>
    <t>Instrumento</t>
  </si>
  <si>
    <t>Trimble R8S+TSC3(bluetooth)</t>
  </si>
  <si>
    <r>
      <rPr>
        <b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,Y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,Z</t>
    </r>
    <r>
      <rPr>
        <b/>
        <vertAlign val="subscript"/>
        <sz val="10"/>
        <rFont val="Arial"/>
        <family val="2"/>
      </rPr>
      <t>0</t>
    </r>
  </si>
  <si>
    <t>Estacas HURD 1ª fase 2020/2021</t>
  </si>
  <si>
    <t>Id. estaca</t>
  </si>
  <si>
    <t>Fecha</t>
  </si>
  <si>
    <t>Hora (UT)</t>
  </si>
  <si>
    <t>¿Mto.?</t>
  </si>
  <si>
    <t>PreMtoFecha</t>
  </si>
  <si>
    <t>PreMtoHora</t>
  </si>
  <si>
    <t>Fichero fuente</t>
  </si>
  <si>
    <t>Código</t>
  </si>
  <si>
    <r>
      <rPr>
        <b/>
        <sz val="10"/>
        <rFont val="Symbol"/>
        <family val="1"/>
        <charset val="2"/>
      </rPr>
      <t>D</t>
    </r>
    <r>
      <rPr>
        <b/>
        <sz val="10"/>
        <rFont val="Arial"/>
        <family val="2"/>
      </rPr>
      <t>ant</t>
    </r>
  </si>
  <si>
    <r>
      <rPr>
        <b/>
        <sz val="10"/>
        <rFont val="Arial"/>
        <family val="2"/>
      </rPr>
      <t>Y</t>
    </r>
    <r>
      <rPr>
        <b/>
        <vertAlign val="subscript"/>
        <sz val="10"/>
        <rFont val="Arial"/>
        <family val="2"/>
      </rPr>
      <t xml:space="preserve">r </t>
    </r>
    <r>
      <rPr>
        <b/>
        <sz val="10"/>
        <rFont val="Arial"/>
        <family val="2"/>
      </rPr>
      <t>(N-UTM)</t>
    </r>
  </si>
  <si>
    <t>Comentarios sobre medida GPS</t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</si>
  <si>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(m)</t>
    </r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</si>
  <si>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(m)</t>
    </r>
  </si>
  <si>
    <t>H usados en media (m)</t>
  </si>
  <si>
    <t>H no usados en media (m)</t>
  </si>
  <si>
    <t>H (m)</t>
  </si>
  <si>
    <t>l (m)</t>
  </si>
  <si>
    <t>Comentarios medidas manuales</t>
  </si>
  <si>
    <t>Recursos gráficos asociados</t>
  </si>
  <si>
    <t>h (m)</t>
  </si>
  <si>
    <t>X (E-UTM)</t>
  </si>
  <si>
    <t>Y (N-UTM)</t>
  </si>
  <si>
    <t>Z (WGS84)</t>
  </si>
  <si>
    <t>¿40?</t>
  </si>
  <si>
    <t>Coment. sobre medida corregida</t>
  </si>
  <si>
    <t>dd-mm-aa</t>
  </si>
  <si>
    <t>hh:mm</t>
  </si>
  <si>
    <t>Dejar NO</t>
  </si>
  <si>
    <t>Dejar vacío</t>
  </si>
  <si>
    <t>xxxxxx,xx</t>
  </si>
  <si>
    <t>yyyyyyy,yy</t>
  </si>
  <si>
    <t>zzz,zz</t>
  </si>
  <si>
    <t>xxxxxx,xxx</t>
  </si>
  <si>
    <t>yyyyyyy,yyy</t>
  </si>
  <si>
    <t>zzz,zzz</t>
  </si>
  <si>
    <t>hh,hh</t>
  </si>
  <si>
    <t>g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</si>
  <si>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</si>
  <si>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</si>
  <si>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</si>
  <si>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</si>
  <si>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</si>
  <si>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</si>
  <si>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</si>
  <si>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</si>
  <si>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</si>
  <si>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HH,HH</t>
  </si>
  <si>
    <t>ll,ll</t>
  </si>
  <si>
    <t>EH01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</si>
  <si>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</si>
  <si>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</si>
  <si>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</si>
  <si>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</si>
  <si>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</si>
  <si>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</si>
  <si>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</si>
  <si>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</si>
  <si>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</si>
  <si>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</si>
  <si>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</si>
  <si>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</si>
  <si>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</si>
  <si>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</si>
  <si>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</si>
  <si>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</si>
  <si>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</si>
  <si>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EH19</t>
  </si>
  <si>
    <t>EH20</t>
  </si>
  <si>
    <t>EH21</t>
  </si>
  <si>
    <t>EH22</t>
  </si>
  <si>
    <t>EH23</t>
  </si>
  <si>
    <t>EH24</t>
  </si>
  <si>
    <t>EH25</t>
  </si>
  <si>
    <t>EH26</t>
  </si>
  <si>
    <t>EH27</t>
  </si>
  <si>
    <t>EH28</t>
  </si>
  <si>
    <t>EH29</t>
  </si>
  <si>
    <t>EH30</t>
  </si>
  <si>
    <t>EH31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</si>
  <si>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</si>
  <si>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</si>
  <si>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</si>
  <si>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</si>
  <si>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</si>
  <si>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</si>
  <si>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</si>
  <si>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</si>
  <si>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</si>
  <si>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EH41</t>
  </si>
  <si>
    <t>EH42</t>
  </si>
  <si>
    <t>EH43</t>
  </si>
  <si>
    <t>EH44</t>
  </si>
  <si>
    <t>EH45</t>
  </si>
  <si>
    <t>EH46</t>
  </si>
  <si>
    <t>EH47</t>
  </si>
  <si>
    <t>EH48</t>
  </si>
  <si>
    <t>EH49</t>
  </si>
  <si>
    <t>EH50</t>
  </si>
  <si>
    <t>EH51</t>
  </si>
  <si>
    <t>EH52</t>
  </si>
  <si>
    <t>EH53</t>
  </si>
  <si>
    <t>EH54</t>
  </si>
  <si>
    <t>EH55</t>
  </si>
  <si>
    <t>EH56</t>
  </si>
  <si>
    <t>EH57</t>
  </si>
  <si>
    <t>EH58</t>
  </si>
  <si>
    <t>EH59</t>
  </si>
  <si>
    <t>EH60</t>
  </si>
  <si>
    <t>EH61</t>
  </si>
  <si>
    <t>EH62</t>
  </si>
  <si>
    <t>EH63</t>
  </si>
  <si>
    <t>EH64</t>
  </si>
  <si>
    <t>EH65</t>
  </si>
  <si>
    <t>EH66</t>
  </si>
  <si>
    <t>EH67</t>
  </si>
  <si>
    <t>EH68</t>
  </si>
  <si>
    <t>EH69</t>
  </si>
  <si>
    <t>EH70</t>
  </si>
  <si>
    <t>Mto. estacas HURD 1ª fase 2020/2021</t>
  </si>
  <si>
    <t>SÍ o vacío</t>
  </si>
  <si>
    <t>Estacas JOHNSONS 1ª fase 2020/2021</t>
  </si>
  <si>
    <t>EJ01</t>
  </si>
  <si>
    <t>EJ02</t>
  </si>
  <si>
    <t>EJ03</t>
  </si>
  <si>
    <t>EJ03r</t>
  </si>
  <si>
    <t>EJ04</t>
  </si>
  <si>
    <t>EJ04r</t>
  </si>
  <si>
    <t>EJ05</t>
  </si>
  <si>
    <t>EJ05r</t>
  </si>
  <si>
    <t>EJ06</t>
  </si>
  <si>
    <t>EJ06r</t>
  </si>
  <si>
    <t>EJ07</t>
  </si>
  <si>
    <t>EJ08</t>
  </si>
  <si>
    <t>EJ09</t>
  </si>
  <si>
    <t>EJ10</t>
  </si>
  <si>
    <t>EJ10r</t>
  </si>
  <si>
    <t>EJ11</t>
  </si>
  <si>
    <t>EJ11r</t>
  </si>
  <si>
    <t>EJ12</t>
  </si>
  <si>
    <t>EJ13</t>
  </si>
  <si>
    <t>EJ14</t>
  </si>
  <si>
    <t>EJ14r</t>
  </si>
  <si>
    <t>EJ15</t>
  </si>
  <si>
    <t>EJ16</t>
  </si>
  <si>
    <t>EJ16r</t>
  </si>
  <si>
    <t>EJ17</t>
  </si>
  <si>
    <t>EJ17r</t>
  </si>
  <si>
    <t>EJ18</t>
  </si>
  <si>
    <t>EJ18r</t>
  </si>
  <si>
    <t>EJ19</t>
  </si>
  <si>
    <t>EJ19r</t>
  </si>
  <si>
    <t>EJ20</t>
  </si>
  <si>
    <t>EJ20r</t>
  </si>
  <si>
    <t>EJ21</t>
  </si>
  <si>
    <t>EJ22</t>
  </si>
  <si>
    <t>EJ23</t>
  </si>
  <si>
    <t>EJ24</t>
  </si>
  <si>
    <t>EJ25</t>
  </si>
  <si>
    <t>EJ26</t>
  </si>
  <si>
    <t>EJ27</t>
  </si>
  <si>
    <t>EJ28</t>
  </si>
  <si>
    <t>EJ29</t>
  </si>
  <si>
    <t>EJ30</t>
  </si>
  <si>
    <t>EJ31</t>
  </si>
  <si>
    <t>EJ32</t>
  </si>
  <si>
    <t>EJ33</t>
  </si>
  <si>
    <t>EJ34</t>
  </si>
  <si>
    <t>EJ35</t>
  </si>
  <si>
    <t>EJ36</t>
  </si>
  <si>
    <t>EJ37</t>
  </si>
  <si>
    <t>EJ38</t>
  </si>
  <si>
    <t>EJ39</t>
  </si>
  <si>
    <t>EJ40</t>
  </si>
  <si>
    <t>EJ41</t>
  </si>
  <si>
    <t>EJ42</t>
  </si>
  <si>
    <t>EJ43</t>
  </si>
  <si>
    <t>EJ44</t>
  </si>
  <si>
    <t>EJ45</t>
  </si>
  <si>
    <t>EJ46</t>
  </si>
  <si>
    <t>EJ47</t>
  </si>
  <si>
    <t>EJ48</t>
  </si>
  <si>
    <t>EJ49</t>
  </si>
  <si>
    <t>EJ50</t>
  </si>
  <si>
    <t>EJ51</t>
  </si>
  <si>
    <t>EJ52</t>
  </si>
  <si>
    <t>EJ53</t>
  </si>
  <si>
    <t>EJ54</t>
  </si>
  <si>
    <t>EJ55</t>
  </si>
  <si>
    <t>EJ56</t>
  </si>
  <si>
    <t>Mto. estacas JOHNSONS 1ª fase 2020/2021</t>
  </si>
  <si>
    <t>Medidas del punto de control junto al refugio de montaña</t>
  </si>
  <si>
    <t>Id.punto</t>
  </si>
  <si>
    <r>
      <rPr>
        <b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* (E-UTM)</t>
    </r>
  </si>
  <si>
    <r>
      <rPr>
        <b/>
        <sz val="10"/>
        <rFont val="Arial"/>
        <family val="2"/>
      </rPr>
      <t>Y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* (N-UTM)</t>
    </r>
  </si>
  <si>
    <r>
      <rPr>
        <b/>
        <sz val="10"/>
        <rFont val="Arial"/>
        <family val="2"/>
      </rPr>
      <t>Z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* (WGS84)</t>
    </r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</si>
  <si>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e</t>
    </r>
    <r>
      <rPr>
        <b/>
        <sz val="10"/>
        <rFont val="Arial"/>
        <family val="2"/>
      </rPr>
      <t>* (m)</t>
    </r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</si>
  <si>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* (m)</t>
    </r>
  </si>
  <si>
    <r>
      <rPr>
        <b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= h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>*(m)</t>
    </r>
  </si>
  <si>
    <t>ESTACAS CAMPO</t>
  </si>
  <si>
    <t>Campaña:</t>
  </si>
  <si>
    <t>Tanda:</t>
  </si>
  <si>
    <t>Fecha:</t>
  </si>
  <si>
    <t>Operador:</t>
  </si>
  <si>
    <t>Estaca</t>
  </si>
  <si>
    <t>Hora
local</t>
  </si>
  <si>
    <r>
      <rPr>
        <sz val="18"/>
        <rFont val="Arial"/>
        <family val="2"/>
      </rPr>
      <t>h</t>
    </r>
    <r>
      <rPr>
        <vertAlign val="subscript"/>
        <sz val="18"/>
        <rFont val="Arial"/>
        <family val="2"/>
      </rPr>
      <t>e</t>
    </r>
    <r>
      <rPr>
        <sz val="18"/>
        <rFont val="Arial"/>
        <family val="2"/>
      </rPr>
      <t>(cm)</t>
    </r>
  </si>
  <si>
    <r>
      <rPr>
        <sz val="18"/>
        <rFont val="Arial"/>
        <family val="2"/>
      </rPr>
      <t>h</t>
    </r>
    <r>
      <rPr>
        <vertAlign val="subscript"/>
        <sz val="18"/>
        <rFont val="Arial"/>
        <family val="2"/>
      </rPr>
      <t>m</t>
    </r>
    <r>
      <rPr>
        <sz val="18"/>
        <rFont val="Arial"/>
        <family val="2"/>
      </rPr>
      <t>(cm)</t>
    </r>
  </si>
  <si>
    <t>e
(deg)</t>
  </si>
  <si>
    <r>
      <rPr>
        <sz val="18"/>
        <rFont val="Symbol"/>
        <family val="1"/>
        <charset val="2"/>
      </rPr>
      <t>f</t>
    </r>
    <r>
      <rPr>
        <vertAlign val="subscript"/>
        <sz val="18"/>
        <rFont val="Arial"/>
        <family val="2"/>
      </rPr>
      <t xml:space="preserve">m
</t>
    </r>
    <r>
      <rPr>
        <sz val="18"/>
        <rFont val="Arial"/>
        <family val="2"/>
      </rPr>
      <t>(deg)</t>
    </r>
  </si>
  <si>
    <r>
      <rPr>
        <sz val="18"/>
        <rFont val="Symbol"/>
        <family val="1"/>
        <charset val="2"/>
      </rPr>
      <t xml:space="preserve">a
</t>
    </r>
    <r>
      <rPr>
        <sz val="18"/>
        <rFont val="Arial"/>
        <family val="2"/>
      </rPr>
      <t>(deg)</t>
    </r>
  </si>
  <si>
    <t>H (cm)
(varios valores)</t>
  </si>
  <si>
    <t>l (cm)</t>
  </si>
  <si>
    <t>Comentarios</t>
  </si>
  <si>
    <t>2022-2023</t>
  </si>
  <si>
    <t>NO</t>
  </si>
  <si>
    <t>EH71</t>
  </si>
  <si>
    <t>Unai Letamendia y Pablo Rodríguez</t>
  </si>
  <si>
    <t>b</t>
  </si>
  <si>
    <t>EJ57</t>
  </si>
  <si>
    <t>EJ58</t>
  </si>
  <si>
    <t>EJ59</t>
  </si>
  <si>
    <t>EJ60</t>
  </si>
  <si>
    <t>22-02-2023</t>
  </si>
  <si>
    <t>JH20230222.job</t>
  </si>
  <si>
    <t>RTK</t>
  </si>
  <si>
    <t>15:16</t>
  </si>
  <si>
    <t>15:39</t>
  </si>
  <si>
    <t>Estaca inclinada, medida con jalón</t>
  </si>
  <si>
    <t>Medida con capuchón</t>
  </si>
  <si>
    <t>23-02-2023</t>
  </si>
  <si>
    <t>15:41</t>
  </si>
  <si>
    <t>JH20230223.job</t>
  </si>
  <si>
    <t>EJ61</t>
  </si>
  <si>
    <t>EJ62</t>
  </si>
  <si>
    <t>Medida con jalón sobre esquí en la superficie de la nieve</t>
  </si>
  <si>
    <t>JH20230305.job</t>
  </si>
  <si>
    <t>H esperada 0 m pero ha nevado los días previos a la medida</t>
  </si>
  <si>
    <t>EH72</t>
  </si>
  <si>
    <t>EH73</t>
  </si>
  <si>
    <t>EH74</t>
  </si>
  <si>
    <t>EH75</t>
  </si>
  <si>
    <t>18:00</t>
  </si>
  <si>
    <t>12:22</t>
  </si>
  <si>
    <t>Medida con jalón sobre la superficie del hielo</t>
  </si>
  <si>
    <t>Medida con jalón sobre una estaca tumbada (5 cm de diámetro) pegada a la que se midió, por ello Delta ant es 2+0.05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</si>
</sst>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"/>
    <numFmt numFmtId="165" formatCode="0.000"/>
  </numFmts>
  <fonts count="25" x14ac:knownFonts="1"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  <charset val="1"/>
    </font>
    <font>
      <b/>
      <sz val="15"/>
      <color indexed="56"/>
      <name val="Calibri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  <charset val="2"/>
    </font>
    <font>
      <sz val="10"/>
      <name val="Arial"/>
      <family val="2"/>
    </font>
    <font>
      <i/>
      <sz val="10"/>
      <name val="Arial"/>
      <family val="2"/>
    </font>
    <font>
      <vertAlign val="subscript"/>
      <sz val="10"/>
      <name val="Arial"/>
      <family val="2"/>
    </font>
    <font>
      <sz val="10"/>
      <name val="Symbol"/>
      <family val="1"/>
      <charset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20"/>
      <name val="Arial"/>
      <family val="2"/>
    </font>
    <font>
      <sz val="18"/>
      <name val="Arial"/>
      <family val="2"/>
    </font>
    <font>
      <vertAlign val="subscript"/>
      <sz val="18"/>
      <name val="Arial"/>
      <family val="2"/>
    </font>
    <font>
      <sz val="18"/>
      <name val="Symbol"/>
      <family val="1"/>
      <charset val="2"/>
    </font>
    <font>
      <sz val="36"/>
      <name val="Arial"/>
      <family val="2"/>
    </font>
    <font>
      <sz val="12"/>
      <color indexed="8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52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27"/>
        <bgColor indexed="41"/>
      </patternFill>
    </fill>
    <fill>
      <patternFill patternType="solid">
        <fgColor indexed="50"/>
        <bgColor indexed="51"/>
      </patternFill>
    </fill>
    <fill>
      <patternFill patternType="solid">
        <fgColor indexed="51"/>
        <bgColor indexed="29"/>
      </patternFill>
    </fill>
    <fill>
      <patternFill patternType="solid">
        <fgColor indexed="23"/>
        <b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27"/>
      </patternFill>
    </fill>
    <fill>
      <patternFill patternType="solid">
        <fgColor theme="0" tint="-0.34998626667073579"/>
        <bgColor indexed="5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29"/>
      </patternFill>
    </fill>
    <fill>
      <patternFill patternType="solid">
        <fgColor rgb="FFFFFF00"/>
        <bgColor indexed="3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 style="medium">
        <color indexed="59"/>
      </bottom>
      <diagonal/>
    </border>
    <border>
      <left/>
      <right/>
      <top style="medium">
        <color indexed="59"/>
      </top>
      <bottom style="medium">
        <color indexed="59"/>
      </bottom>
      <diagonal/>
    </border>
    <border>
      <left/>
      <right/>
      <top style="thin">
        <color indexed="59"/>
      </top>
      <bottom style="medium">
        <color indexed="59"/>
      </bottom>
      <diagonal/>
    </border>
    <border>
      <left/>
      <right style="medium">
        <color indexed="59"/>
      </right>
      <top style="thin">
        <color indexed="59"/>
      </top>
      <bottom style="medium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medium">
        <color indexed="59"/>
      </bottom>
      <diagonal/>
    </border>
    <border>
      <left/>
      <right style="thin">
        <color indexed="59"/>
      </right>
      <top style="thin">
        <color indexed="59"/>
      </top>
      <bottom style="medium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/>
      <top style="thin">
        <color indexed="59"/>
      </top>
      <bottom style="medium">
        <color indexed="59"/>
      </bottom>
      <diagonal/>
    </border>
    <border>
      <left/>
      <right/>
      <top style="thin">
        <color indexed="59"/>
      </top>
      <bottom/>
      <diagonal/>
    </border>
    <border>
      <left/>
      <right/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thin">
        <color indexed="59"/>
      </bottom>
      <diagonal/>
    </border>
    <border>
      <left/>
      <right style="thin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/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/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/>
      <diagonal/>
    </border>
    <border>
      <left/>
      <right style="thin">
        <color indexed="59"/>
      </right>
      <top/>
      <bottom/>
      <diagonal/>
    </border>
    <border>
      <left style="thin">
        <color indexed="59"/>
      </left>
      <right style="medium">
        <color indexed="59"/>
      </right>
      <top/>
      <bottom/>
      <diagonal/>
    </border>
    <border>
      <left style="medium">
        <color indexed="59"/>
      </left>
      <right style="thin">
        <color indexed="59"/>
      </right>
      <top/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medium">
        <color indexed="59"/>
      </left>
      <right/>
      <top/>
      <bottom/>
      <diagonal/>
    </border>
    <border>
      <left/>
      <right style="medium">
        <color indexed="59"/>
      </right>
      <top style="medium">
        <color indexed="59"/>
      </top>
      <bottom style="medium">
        <color indexed="59"/>
      </bottom>
      <diagonal/>
    </border>
    <border>
      <left style="medium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medium">
        <color indexed="59"/>
      </right>
      <top/>
      <bottom style="medium">
        <color indexed="59"/>
      </bottom>
      <diagonal/>
    </border>
    <border>
      <left/>
      <right style="medium">
        <color indexed="59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21" fillId="2" borderId="2" applyNumberFormat="0" applyAlignment="0" applyProtection="0"/>
    <xf numFmtId="0" fontId="2" fillId="0" borderId="0"/>
    <xf numFmtId="0" fontId="3" fillId="0" borderId="1" applyNumberFormat="0" applyFill="0" applyAlignment="0" applyProtection="0"/>
  </cellStyleXfs>
  <cellXfs count="387">
    <xf numFmtId="0" fontId="0" fillId="0" borderId="0" xfId="0"/>
    <xf numFmtId="0" fontId="0" fillId="0" borderId="0" xfId="0" applyAlignment="1">
      <alignment vertical="center"/>
    </xf>
    <xf numFmtId="49" fontId="4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justify" vertical="center" wrapText="1"/>
    </xf>
    <xf numFmtId="49" fontId="4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justify" vertical="center" wrapText="1"/>
    </xf>
    <xf numFmtId="49" fontId="4" fillId="0" borderId="0" xfId="0" applyNumberFormat="1" applyFont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justify" vertical="center" wrapText="1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49" fontId="4" fillId="3" borderId="8" xfId="0" applyNumberFormat="1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7" fillId="0" borderId="9" xfId="0" applyFont="1" applyBorder="1" applyAlignment="1">
      <alignment horizontal="left"/>
    </xf>
    <xf numFmtId="165" fontId="4" fillId="3" borderId="11" xfId="0" applyNumberFormat="1" applyFont="1" applyFill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165" fontId="4" fillId="4" borderId="12" xfId="0" applyNumberFormat="1" applyFont="1" applyFill="1" applyBorder="1" applyAlignment="1">
      <alignment horizontal="center"/>
    </xf>
    <xf numFmtId="165" fontId="7" fillId="4" borderId="13" xfId="0" applyNumberFormat="1" applyFont="1" applyFill="1" applyBorder="1" applyAlignment="1">
      <alignment horizontal="center"/>
    </xf>
    <xf numFmtId="165" fontId="0" fillId="5" borderId="7" xfId="0" applyNumberFormat="1" applyFill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4" fillId="3" borderId="16" xfId="0" applyNumberFormat="1" applyFont="1" applyFill="1" applyBorder="1" applyAlignment="1">
      <alignment horizontal="center"/>
    </xf>
    <xf numFmtId="49" fontId="4" fillId="3" borderId="17" xfId="0" applyNumberFormat="1" applyFont="1" applyFill="1" applyBorder="1" applyAlignment="1">
      <alignment horizontal="center"/>
    </xf>
    <xf numFmtId="49" fontId="4" fillId="3" borderId="18" xfId="0" applyNumberFormat="1" applyFont="1" applyFill="1" applyBorder="1" applyAlignment="1">
      <alignment horizontal="center"/>
    </xf>
    <xf numFmtId="49" fontId="4" fillId="3" borderId="17" xfId="0" applyNumberFormat="1" applyFont="1" applyFill="1" applyBorder="1" applyAlignment="1">
      <alignment horizontal="left"/>
    </xf>
    <xf numFmtId="49" fontId="4" fillId="3" borderId="18" xfId="0" applyNumberFormat="1" applyFont="1" applyFill="1" applyBorder="1" applyAlignment="1">
      <alignment horizontal="left"/>
    </xf>
    <xf numFmtId="165" fontId="4" fillId="3" borderId="19" xfId="0" applyNumberFormat="1" applyFont="1" applyFill="1" applyBorder="1" applyAlignment="1">
      <alignment horizontal="center"/>
    </xf>
    <xf numFmtId="49" fontId="4" fillId="6" borderId="20" xfId="0" applyNumberFormat="1" applyFont="1" applyFill="1" applyBorder="1" applyAlignment="1">
      <alignment horizontal="center"/>
    </xf>
    <xf numFmtId="49" fontId="4" fillId="6" borderId="17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49" fontId="4" fillId="6" borderId="22" xfId="0" applyNumberFormat="1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2" fontId="4" fillId="3" borderId="19" xfId="0" applyNumberFormat="1" applyFont="1" applyFill="1" applyBorder="1" applyAlignment="1">
      <alignment horizontal="center"/>
    </xf>
    <xf numFmtId="2" fontId="4" fillId="3" borderId="20" xfId="0" applyNumberFormat="1" applyFont="1" applyFill="1" applyBorder="1" applyAlignment="1">
      <alignment horizontal="center"/>
    </xf>
    <xf numFmtId="2" fontId="4" fillId="3" borderId="17" xfId="0" applyNumberFormat="1" applyFont="1" applyFill="1" applyBorder="1" applyAlignment="1">
      <alignment horizontal="center" vertical="center"/>
    </xf>
    <xf numFmtId="2" fontId="6" fillId="3" borderId="17" xfId="0" applyNumberFormat="1" applyFont="1" applyFill="1" applyBorder="1" applyAlignment="1">
      <alignment horizontal="center" vertical="center"/>
    </xf>
    <xf numFmtId="2" fontId="4" fillId="3" borderId="18" xfId="0" applyNumberFormat="1" applyFont="1" applyFill="1" applyBorder="1" applyAlignment="1">
      <alignment horizontal="center" vertical="center"/>
    </xf>
    <xf numFmtId="2" fontId="4" fillId="3" borderId="16" xfId="0" applyNumberFormat="1" applyFont="1" applyFill="1" applyBorder="1" applyAlignment="1">
      <alignment horizontal="center" vertical="center"/>
    </xf>
    <xf numFmtId="2" fontId="4" fillId="3" borderId="23" xfId="0" applyNumberFormat="1" applyFont="1" applyFill="1" applyBorder="1" applyAlignment="1">
      <alignment horizontal="center" vertical="center"/>
    </xf>
    <xf numFmtId="2" fontId="4" fillId="3" borderId="20" xfId="0" applyNumberFormat="1" applyFont="1" applyFill="1" applyBorder="1" applyAlignment="1">
      <alignment horizontal="center" vertical="center"/>
    </xf>
    <xf numFmtId="2" fontId="4" fillId="7" borderId="17" xfId="0" applyNumberFormat="1" applyFont="1" applyFill="1" applyBorder="1" applyAlignment="1">
      <alignment horizontal="center"/>
    </xf>
    <xf numFmtId="2" fontId="4" fillId="3" borderId="17" xfId="0" applyNumberFormat="1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2" fontId="4" fillId="7" borderId="20" xfId="0" applyNumberFormat="1" applyFont="1" applyFill="1" applyBorder="1" applyAlignment="1">
      <alignment horizontal="center"/>
    </xf>
    <xf numFmtId="49" fontId="4" fillId="7" borderId="20" xfId="0" applyNumberFormat="1" applyFont="1" applyFill="1" applyBorder="1" applyAlignment="1">
      <alignment horizontal="center" vertical="center"/>
    </xf>
    <xf numFmtId="49" fontId="4" fillId="7" borderId="17" xfId="0" applyNumberFormat="1" applyFont="1" applyFill="1" applyBorder="1" applyAlignment="1">
      <alignment horizontal="center" vertical="center"/>
    </xf>
    <xf numFmtId="164" fontId="0" fillId="0" borderId="24" xfId="0" applyNumberFormat="1" applyBorder="1" applyAlignment="1">
      <alignment horizontal="center"/>
    </xf>
    <xf numFmtId="20" fontId="0" fillId="0" borderId="25" xfId="0" applyNumberFormat="1" applyBorder="1" applyAlignment="1">
      <alignment horizontal="center"/>
    </xf>
    <xf numFmtId="49" fontId="0" fillId="5" borderId="26" xfId="0" applyNumberFormat="1" applyFill="1" applyBorder="1" applyAlignment="1">
      <alignment horizontal="center"/>
    </xf>
    <xf numFmtId="164" fontId="0" fillId="5" borderId="24" xfId="0" applyNumberFormat="1" applyFill="1" applyBorder="1" applyAlignment="1">
      <alignment horizontal="center"/>
    </xf>
    <xf numFmtId="165" fontId="0" fillId="0" borderId="27" xfId="0" applyNumberFormat="1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49" fontId="0" fillId="0" borderId="24" xfId="0" applyNumberFormat="1" applyBorder="1" applyAlignment="1">
      <alignment horizontal="center"/>
    </xf>
    <xf numFmtId="49" fontId="0" fillId="0" borderId="25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49" fontId="0" fillId="0" borderId="30" xfId="0" applyNumberForma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49" fontId="7" fillId="0" borderId="24" xfId="0" applyNumberFormat="1" applyFont="1" applyBorder="1" applyAlignment="1">
      <alignment horizontal="center"/>
    </xf>
    <xf numFmtId="164" fontId="7" fillId="0" borderId="24" xfId="0" applyNumberFormat="1" applyFon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8" borderId="24" xfId="0" applyNumberFormat="1" applyFill="1" applyBorder="1" applyAlignment="1">
      <alignment horizontal="center"/>
    </xf>
    <xf numFmtId="2" fontId="2" fillId="5" borderId="33" xfId="3" applyNumberFormat="1" applyFill="1" applyBorder="1" applyAlignment="1">
      <alignment horizontal="center"/>
    </xf>
    <xf numFmtId="2" fontId="7" fillId="0" borderId="24" xfId="0" applyNumberFormat="1" applyFont="1" applyBorder="1"/>
    <xf numFmtId="2" fontId="7" fillId="0" borderId="25" xfId="0" applyNumberFormat="1" applyFont="1" applyBorder="1" applyAlignment="1">
      <alignment horizontal="center"/>
    </xf>
    <xf numFmtId="49" fontId="7" fillId="0" borderId="30" xfId="0" applyNumberFormat="1" applyFont="1" applyBorder="1" applyAlignment="1">
      <alignment horizontal="center"/>
    </xf>
    <xf numFmtId="49" fontId="0" fillId="9" borderId="24" xfId="0" applyNumberFormat="1" applyFill="1" applyBorder="1" applyAlignment="1">
      <alignment horizontal="center"/>
    </xf>
    <xf numFmtId="164" fontId="7" fillId="9" borderId="24" xfId="0" applyNumberFormat="1" applyFont="1" applyFill="1" applyBorder="1" applyAlignment="1">
      <alignment horizontal="center"/>
    </xf>
    <xf numFmtId="20" fontId="0" fillId="9" borderId="0" xfId="0" applyNumberFormat="1" applyFill="1" applyAlignment="1">
      <alignment horizontal="center"/>
    </xf>
    <xf numFmtId="2" fontId="0" fillId="9" borderId="25" xfId="0" applyNumberFormat="1" applyFill="1" applyBorder="1" applyAlignment="1">
      <alignment horizontal="center"/>
    </xf>
    <xf numFmtId="49" fontId="0" fillId="9" borderId="25" xfId="0" applyNumberFormat="1" applyFill="1" applyBorder="1" applyAlignment="1">
      <alignment horizontal="center"/>
    </xf>
    <xf numFmtId="2" fontId="0" fillId="9" borderId="31" xfId="0" applyNumberFormat="1" applyFill="1" applyBorder="1" applyAlignment="1">
      <alignment horizontal="center"/>
    </xf>
    <xf numFmtId="2" fontId="0" fillId="9" borderId="29" xfId="0" applyNumberFormat="1" applyFill="1" applyBorder="1" applyAlignment="1">
      <alignment horizontal="center"/>
    </xf>
    <xf numFmtId="1" fontId="0" fillId="9" borderId="24" xfId="0" applyNumberFormat="1" applyFill="1" applyBorder="1" applyAlignment="1">
      <alignment horizontal="center"/>
    </xf>
    <xf numFmtId="2" fontId="0" fillId="9" borderId="24" xfId="0" applyNumberFormat="1" applyFill="1" applyBorder="1" applyAlignment="1">
      <alignment horizontal="center"/>
    </xf>
    <xf numFmtId="2" fontId="2" fillId="9" borderId="33" xfId="3" applyNumberFormat="1" applyFill="1" applyBorder="1" applyAlignment="1">
      <alignment horizontal="center"/>
    </xf>
    <xf numFmtId="2" fontId="0" fillId="9" borderId="30" xfId="0" applyNumberFormat="1" applyFill="1" applyBorder="1" applyAlignment="1">
      <alignment horizontal="center"/>
    </xf>
    <xf numFmtId="49" fontId="7" fillId="9" borderId="30" xfId="0" applyNumberFormat="1" applyFont="1" applyFill="1" applyBorder="1" applyAlignment="1">
      <alignment horizontal="center"/>
    </xf>
    <xf numFmtId="49" fontId="0" fillId="10" borderId="24" xfId="0" applyNumberFormat="1" applyFill="1" applyBorder="1" applyAlignment="1">
      <alignment horizontal="center"/>
    </xf>
    <xf numFmtId="164" fontId="7" fillId="10" borderId="24" xfId="0" applyNumberFormat="1" applyFont="1" applyFill="1" applyBorder="1" applyAlignment="1">
      <alignment horizontal="center"/>
    </xf>
    <xf numFmtId="20" fontId="0" fillId="10" borderId="0" xfId="0" applyNumberFormat="1" applyFill="1" applyAlignment="1">
      <alignment horizontal="center"/>
    </xf>
    <xf numFmtId="165" fontId="0" fillId="10" borderId="31" xfId="0" applyNumberFormat="1" applyFill="1" applyBorder="1" applyAlignment="1">
      <alignment horizontal="center"/>
    </xf>
    <xf numFmtId="2" fontId="0" fillId="10" borderId="29" xfId="0" applyNumberFormat="1" applyFill="1" applyBorder="1" applyAlignment="1">
      <alignment horizontal="center"/>
    </xf>
    <xf numFmtId="2" fontId="0" fillId="10" borderId="24" xfId="0" applyNumberFormat="1" applyFill="1" applyBorder="1" applyAlignment="1">
      <alignment horizontal="center"/>
    </xf>
    <xf numFmtId="2" fontId="0" fillId="10" borderId="25" xfId="0" applyNumberFormat="1" applyFill="1" applyBorder="1" applyAlignment="1">
      <alignment horizontal="center"/>
    </xf>
    <xf numFmtId="49" fontId="0" fillId="10" borderId="25" xfId="0" applyNumberFormat="1" applyFill="1" applyBorder="1" applyAlignment="1">
      <alignment horizontal="center"/>
    </xf>
    <xf numFmtId="2" fontId="0" fillId="10" borderId="31" xfId="0" applyNumberFormat="1" applyFill="1" applyBorder="1" applyAlignment="1">
      <alignment horizontal="center"/>
    </xf>
    <xf numFmtId="1" fontId="0" fillId="10" borderId="24" xfId="0" applyNumberFormat="1" applyFill="1" applyBorder="1" applyAlignment="1">
      <alignment horizontal="center"/>
    </xf>
    <xf numFmtId="2" fontId="0" fillId="10" borderId="33" xfId="0" applyNumberFormat="1" applyFill="1" applyBorder="1" applyAlignment="1">
      <alignment horizontal="center"/>
    </xf>
    <xf numFmtId="2" fontId="0" fillId="10" borderId="24" xfId="0" applyNumberFormat="1" applyFill="1" applyBorder="1"/>
    <xf numFmtId="2" fontId="0" fillId="10" borderId="30" xfId="0" applyNumberFormat="1" applyFill="1" applyBorder="1" applyAlignment="1">
      <alignment horizontal="center"/>
    </xf>
    <xf numFmtId="49" fontId="7" fillId="10" borderId="30" xfId="0" applyNumberFormat="1" applyFont="1" applyFill="1" applyBorder="1" applyAlignment="1">
      <alignment horizontal="center"/>
    </xf>
    <xf numFmtId="2" fontId="0" fillId="9" borderId="33" xfId="0" applyNumberFormat="1" applyFill="1" applyBorder="1" applyAlignment="1">
      <alignment horizontal="center"/>
    </xf>
    <xf numFmtId="2" fontId="2" fillId="10" borderId="33" xfId="3" applyNumberFormat="1" applyFill="1" applyBorder="1" applyAlignment="1">
      <alignment horizontal="center"/>
    </xf>
    <xf numFmtId="165" fontId="0" fillId="0" borderId="6" xfId="0" applyNumberFormat="1" applyBorder="1" applyAlignment="1">
      <alignment horizontal="left"/>
    </xf>
    <xf numFmtId="165" fontId="0" fillId="5" borderId="7" xfId="0" applyNumberFormat="1" applyFill="1" applyBorder="1" applyAlignment="1">
      <alignment horizontal="left"/>
    </xf>
    <xf numFmtId="2" fontId="0" fillId="5" borderId="14" xfId="0" applyNumberFormat="1" applyFill="1" applyBorder="1" applyAlignment="1">
      <alignment horizontal="center"/>
    </xf>
    <xf numFmtId="2" fontId="6" fillId="7" borderId="17" xfId="0" applyNumberFormat="1" applyFont="1" applyFill="1" applyBorder="1" applyAlignment="1">
      <alignment horizontal="center" vertical="center"/>
    </xf>
    <xf numFmtId="2" fontId="7" fillId="0" borderId="24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center"/>
    </xf>
    <xf numFmtId="20" fontId="0" fillId="0" borderId="24" xfId="0" applyNumberFormat="1" applyBorder="1" applyAlignment="1">
      <alignment horizontal="center"/>
    </xf>
    <xf numFmtId="2" fontId="7" fillId="9" borderId="25" xfId="0" applyNumberFormat="1" applyFont="1" applyFill="1" applyBorder="1" applyAlignment="1">
      <alignment horizontal="center"/>
    </xf>
    <xf numFmtId="2" fontId="7" fillId="9" borderId="0" xfId="0" applyNumberFormat="1" applyFont="1" applyFill="1" applyAlignment="1">
      <alignment horizontal="center"/>
    </xf>
    <xf numFmtId="165" fontId="0" fillId="10" borderId="25" xfId="0" applyNumberFormat="1" applyFill="1" applyBorder="1" applyAlignment="1">
      <alignment horizontal="center"/>
    </xf>
    <xf numFmtId="2" fontId="7" fillId="10" borderId="25" xfId="0" applyNumberFormat="1" applyFont="1" applyFill="1" applyBorder="1" applyAlignment="1">
      <alignment horizontal="center"/>
    </xf>
    <xf numFmtId="2" fontId="7" fillId="10" borderId="0" xfId="0" applyNumberFormat="1" applyFont="1" applyFill="1" applyAlignment="1">
      <alignment horizontal="center"/>
    </xf>
    <xf numFmtId="2" fontId="0" fillId="0" borderId="26" xfId="0" applyNumberFormat="1" applyBorder="1" applyAlignment="1">
      <alignment horizontal="center"/>
    </xf>
    <xf numFmtId="49" fontId="0" fillId="11" borderId="34" xfId="0" applyNumberFormat="1" applyFill="1" applyBorder="1" applyAlignment="1">
      <alignment horizontal="center"/>
    </xf>
    <xf numFmtId="49" fontId="0" fillId="11" borderId="24" xfId="0" applyNumberFormat="1" applyFill="1" applyBorder="1" applyAlignment="1">
      <alignment horizontal="center"/>
    </xf>
    <xf numFmtId="164" fontId="7" fillId="11" borderId="24" xfId="0" applyNumberFormat="1" applyFont="1" applyFill="1" applyBorder="1" applyAlignment="1">
      <alignment horizontal="center"/>
    </xf>
    <xf numFmtId="20" fontId="0" fillId="11" borderId="0" xfId="0" applyNumberFormat="1" applyFill="1" applyAlignment="1">
      <alignment horizontal="center"/>
    </xf>
    <xf numFmtId="165" fontId="0" fillId="11" borderId="31" xfId="0" applyNumberFormat="1" applyFill="1" applyBorder="1" applyAlignment="1">
      <alignment horizontal="center"/>
    </xf>
    <xf numFmtId="2" fontId="0" fillId="11" borderId="29" xfId="0" applyNumberFormat="1" applyFill="1" applyBorder="1" applyAlignment="1">
      <alignment horizontal="center"/>
    </xf>
    <xf numFmtId="2" fontId="0" fillId="11" borderId="24" xfId="0" applyNumberFormat="1" applyFill="1" applyBorder="1" applyAlignment="1">
      <alignment horizontal="center"/>
    </xf>
    <xf numFmtId="2" fontId="0" fillId="11" borderId="25" xfId="0" applyNumberFormat="1" applyFill="1" applyBorder="1" applyAlignment="1">
      <alignment horizontal="center"/>
    </xf>
    <xf numFmtId="165" fontId="0" fillId="11" borderId="25" xfId="0" applyNumberFormat="1" applyFill="1" applyBorder="1" applyAlignment="1">
      <alignment horizontal="center"/>
    </xf>
    <xf numFmtId="1" fontId="0" fillId="11" borderId="24" xfId="0" applyNumberFormat="1" applyFill="1" applyBorder="1" applyAlignment="1">
      <alignment horizontal="center"/>
    </xf>
    <xf numFmtId="2" fontId="0" fillId="11" borderId="33" xfId="0" applyNumberFormat="1" applyFill="1" applyBorder="1" applyAlignment="1">
      <alignment horizontal="center"/>
    </xf>
    <xf numFmtId="2" fontId="0" fillId="11" borderId="24" xfId="0" applyNumberFormat="1" applyFill="1" applyBorder="1" applyAlignment="1">
      <alignment horizontal="left"/>
    </xf>
    <xf numFmtId="2" fontId="0" fillId="11" borderId="30" xfId="0" applyNumberFormat="1" applyFill="1" applyBorder="1" applyAlignment="1">
      <alignment horizontal="center"/>
    </xf>
    <xf numFmtId="49" fontId="7" fillId="11" borderId="30" xfId="0" applyNumberFormat="1" applyFont="1" applyFill="1" applyBorder="1" applyAlignment="1">
      <alignment horizontal="center"/>
    </xf>
    <xf numFmtId="49" fontId="0" fillId="10" borderId="34" xfId="0" applyNumberFormat="1" applyFill="1" applyBorder="1" applyAlignment="1">
      <alignment horizontal="center"/>
    </xf>
    <xf numFmtId="164" fontId="0" fillId="10" borderId="24" xfId="0" applyNumberFormat="1" applyFill="1" applyBorder="1" applyAlignment="1">
      <alignment horizontal="center"/>
    </xf>
    <xf numFmtId="20" fontId="0" fillId="10" borderId="30" xfId="0" applyNumberFormat="1" applyFill="1" applyBorder="1" applyAlignment="1">
      <alignment horizontal="center"/>
    </xf>
    <xf numFmtId="2" fontId="0" fillId="10" borderId="24" xfId="0" applyNumberFormat="1" applyFill="1" applyBorder="1" applyAlignment="1">
      <alignment horizontal="left"/>
    </xf>
    <xf numFmtId="49" fontId="0" fillId="0" borderId="34" xfId="0" applyNumberFormat="1" applyBorder="1" applyAlignment="1">
      <alignment horizontal="center"/>
    </xf>
    <xf numFmtId="2" fontId="0" fillId="5" borderId="33" xfId="0" applyNumberFormat="1" applyFill="1" applyBorder="1" applyAlignment="1">
      <alignment horizontal="center"/>
    </xf>
    <xf numFmtId="2" fontId="0" fillId="0" borderId="24" xfId="0" applyNumberFormat="1" applyBorder="1" applyAlignment="1">
      <alignment horizontal="left"/>
    </xf>
    <xf numFmtId="49" fontId="0" fillId="9" borderId="34" xfId="0" applyNumberFormat="1" applyFill="1" applyBorder="1" applyAlignment="1">
      <alignment horizontal="center"/>
    </xf>
    <xf numFmtId="49" fontId="0" fillId="10" borderId="24" xfId="0" applyNumberFormat="1" applyFill="1" applyBorder="1" applyAlignment="1">
      <alignment horizontal="left"/>
    </xf>
    <xf numFmtId="49" fontId="0" fillId="10" borderId="33" xfId="0" applyNumberFormat="1" applyFill="1" applyBorder="1" applyAlignment="1">
      <alignment horizontal="center"/>
    </xf>
    <xf numFmtId="49" fontId="0" fillId="10" borderId="0" xfId="0" applyNumberFormat="1" applyFill="1" applyAlignment="1">
      <alignment horizontal="center"/>
    </xf>
    <xf numFmtId="49" fontId="0" fillId="9" borderId="0" xfId="0" applyNumberFormat="1" applyFill="1" applyAlignment="1">
      <alignment horizontal="center"/>
    </xf>
    <xf numFmtId="49" fontId="7" fillId="0" borderId="0" xfId="0" applyNumberFormat="1" applyFont="1" applyAlignment="1">
      <alignment horizontal="center"/>
    </xf>
    <xf numFmtId="165" fontId="7" fillId="0" borderId="26" xfId="0" applyNumberFormat="1" applyFont="1" applyBorder="1" applyAlignment="1">
      <alignment horizontal="center"/>
    </xf>
    <xf numFmtId="165" fontId="0" fillId="11" borderId="24" xfId="0" applyNumberFormat="1" applyFill="1" applyBorder="1" applyAlignment="1">
      <alignment horizontal="center"/>
    </xf>
    <xf numFmtId="2" fontId="7" fillId="11" borderId="0" xfId="0" applyNumberFormat="1" applyFont="1" applyFill="1" applyAlignment="1">
      <alignment horizontal="center"/>
    </xf>
    <xf numFmtId="2" fontId="0" fillId="9" borderId="24" xfId="0" applyNumberFormat="1" applyFill="1" applyBorder="1" applyAlignment="1">
      <alignment horizontal="left"/>
    </xf>
    <xf numFmtId="2" fontId="7" fillId="10" borderId="0" xfId="0" applyNumberFormat="1" applyFont="1" applyFill="1" applyAlignment="1">
      <alignment horizontal="left"/>
    </xf>
    <xf numFmtId="49" fontId="7" fillId="10" borderId="24" xfId="0" applyNumberFormat="1" applyFont="1" applyFill="1" applyBorder="1" applyAlignment="1">
      <alignment horizontal="center"/>
    </xf>
    <xf numFmtId="1" fontId="7" fillId="10" borderId="24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6" xfId="0" applyFont="1" applyBorder="1" applyAlignment="1">
      <alignment horizontal="left"/>
    </xf>
    <xf numFmtId="49" fontId="4" fillId="3" borderId="13" xfId="0" applyNumberFormat="1" applyFont="1" applyFill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1" fontId="4" fillId="3" borderId="20" xfId="0" applyNumberFormat="1" applyFont="1" applyFill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165" fontId="7" fillId="0" borderId="25" xfId="0" applyNumberFormat="1" applyFont="1" applyBorder="1" applyAlignment="1">
      <alignment horizontal="center"/>
    </xf>
    <xf numFmtId="2" fontId="4" fillId="12" borderId="17" xfId="0" applyNumberFormat="1" applyFont="1" applyFill="1" applyBorder="1" applyAlignment="1">
      <alignment horizontal="center"/>
    </xf>
    <xf numFmtId="49" fontId="4" fillId="12" borderId="17" xfId="0" applyNumberFormat="1" applyFont="1" applyFill="1" applyBorder="1" applyAlignment="1">
      <alignment horizontal="center"/>
    </xf>
    <xf numFmtId="2" fontId="7" fillId="0" borderId="15" xfId="0" applyNumberFormat="1" applyFon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0" xfId="0" applyNumberFormat="1"/>
    <xf numFmtId="0" fontId="15" fillId="0" borderId="0" xfId="0" applyFont="1"/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3" xfId="0" applyFont="1" applyBorder="1"/>
    <xf numFmtId="0" fontId="19" fillId="0" borderId="36" xfId="0" applyFont="1" applyBorder="1"/>
    <xf numFmtId="0" fontId="19" fillId="0" borderId="37" xfId="0" applyFont="1" applyBorder="1"/>
    <xf numFmtId="0" fontId="19" fillId="0" borderId="0" xfId="0" applyFont="1"/>
    <xf numFmtId="0" fontId="0" fillId="0" borderId="30" xfId="0" applyBorder="1" applyAlignment="1">
      <alignment horizontal="left"/>
    </xf>
    <xf numFmtId="0" fontId="0" fillId="0" borderId="0" xfId="0" applyAlignment="1">
      <alignment horizontal="left"/>
    </xf>
    <xf numFmtId="49" fontId="7" fillId="0" borderId="25" xfId="0" applyNumberFormat="1" applyFont="1" applyBorder="1" applyAlignment="1">
      <alignment horizontal="center"/>
    </xf>
    <xf numFmtId="2" fontId="7" fillId="0" borderId="38" xfId="0" applyNumberFormat="1" applyFont="1" applyBorder="1" applyAlignment="1">
      <alignment horizontal="left"/>
    </xf>
    <xf numFmtId="2" fontId="0" fillId="9" borderId="38" xfId="0" applyNumberFormat="1" applyFill="1" applyBorder="1" applyAlignment="1">
      <alignment horizontal="left"/>
    </xf>
    <xf numFmtId="2" fontId="0" fillId="10" borderId="38" xfId="0" applyNumberFormat="1" applyFill="1" applyBorder="1" applyAlignment="1">
      <alignment horizontal="left"/>
    </xf>
    <xf numFmtId="2" fontId="0" fillId="0" borderId="39" xfId="0" applyNumberFormat="1" applyBorder="1" applyAlignment="1">
      <alignment horizontal="center"/>
    </xf>
    <xf numFmtId="49" fontId="7" fillId="0" borderId="39" xfId="0" applyNumberFormat="1" applyFont="1" applyBorder="1" applyAlignment="1">
      <alignment horizontal="center"/>
    </xf>
    <xf numFmtId="49" fontId="0" fillId="0" borderId="39" xfId="0" applyNumberFormat="1" applyBorder="1" applyAlignment="1">
      <alignment horizontal="center"/>
    </xf>
    <xf numFmtId="165" fontId="0" fillId="0" borderId="39" xfId="0" applyNumberFormat="1" applyBorder="1" applyAlignment="1">
      <alignment horizontal="center"/>
    </xf>
    <xf numFmtId="2" fontId="0" fillId="9" borderId="39" xfId="0" applyNumberFormat="1" applyFill="1" applyBorder="1" applyAlignment="1">
      <alignment horizontal="center"/>
    </xf>
    <xf numFmtId="49" fontId="0" fillId="9" borderId="39" xfId="0" applyNumberFormat="1" applyFill="1" applyBorder="1" applyAlignment="1">
      <alignment horizontal="center"/>
    </xf>
    <xf numFmtId="165" fontId="0" fillId="9" borderId="39" xfId="0" applyNumberFormat="1" applyFill="1" applyBorder="1" applyAlignment="1">
      <alignment horizontal="center"/>
    </xf>
    <xf numFmtId="2" fontId="0" fillId="10" borderId="39" xfId="0" applyNumberFormat="1" applyFill="1" applyBorder="1" applyAlignment="1">
      <alignment horizontal="center"/>
    </xf>
    <xf numFmtId="49" fontId="0" fillId="10" borderId="39" xfId="0" applyNumberFormat="1" applyFill="1" applyBorder="1" applyAlignment="1">
      <alignment horizontal="center"/>
    </xf>
    <xf numFmtId="165" fontId="0" fillId="10" borderId="39" xfId="0" applyNumberFormat="1" applyFill="1" applyBorder="1" applyAlignment="1">
      <alignment horizontal="center"/>
    </xf>
    <xf numFmtId="0" fontId="0" fillId="0" borderId="39" xfId="0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20" fontId="0" fillId="0" borderId="39" xfId="0" applyNumberFormat="1" applyBorder="1" applyAlignment="1">
      <alignment horizontal="center"/>
    </xf>
    <xf numFmtId="1" fontId="0" fillId="8" borderId="39" xfId="0" applyNumberFormat="1" applyFill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0" fontId="0" fillId="0" borderId="39" xfId="0" applyBorder="1"/>
    <xf numFmtId="2" fontId="7" fillId="0" borderId="39" xfId="0" applyNumberFormat="1" applyFont="1" applyBorder="1" applyAlignment="1">
      <alignment horizontal="left"/>
    </xf>
    <xf numFmtId="2" fontId="7" fillId="0" borderId="39" xfId="0" applyNumberFormat="1" applyFon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2" fontId="0" fillId="0" borderId="41" xfId="0" applyNumberFormat="1" applyBorder="1" applyAlignment="1">
      <alignment horizontal="center"/>
    </xf>
    <xf numFmtId="49" fontId="7" fillId="0" borderId="40" xfId="0" applyNumberFormat="1" applyFont="1" applyBorder="1" applyAlignment="1">
      <alignment horizontal="center"/>
    </xf>
    <xf numFmtId="20" fontId="0" fillId="0" borderId="40" xfId="0" applyNumberFormat="1" applyBorder="1" applyAlignment="1">
      <alignment horizontal="center"/>
    </xf>
    <xf numFmtId="2" fontId="0" fillId="0" borderId="42" xfId="0" applyNumberFormat="1" applyBorder="1" applyAlignment="1">
      <alignment horizontal="center"/>
    </xf>
    <xf numFmtId="165" fontId="4" fillId="3" borderId="21" xfId="0" applyNumberFormat="1" applyFont="1" applyFill="1" applyBorder="1" applyAlignment="1">
      <alignment horizontal="center"/>
    </xf>
    <xf numFmtId="165" fontId="0" fillId="0" borderId="43" xfId="0" applyNumberFormat="1" applyBorder="1" applyAlignment="1">
      <alignment horizontal="center"/>
    </xf>
    <xf numFmtId="165" fontId="0" fillId="0" borderId="30" xfId="0" applyNumberFormat="1" applyBorder="1" applyAlignment="1">
      <alignment horizontal="center"/>
    </xf>
    <xf numFmtId="165" fontId="4" fillId="4" borderId="10" xfId="0" applyNumberFormat="1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2" fontId="0" fillId="11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49" fontId="4" fillId="6" borderId="21" xfId="0" applyNumberFormat="1" applyFont="1" applyFill="1" applyBorder="1" applyAlignment="1">
      <alignment horizontal="center"/>
    </xf>
    <xf numFmtId="49" fontId="0" fillId="11" borderId="30" xfId="0" applyNumberFormat="1" applyFill="1" applyBorder="1" applyAlignment="1">
      <alignment horizontal="center"/>
    </xf>
    <xf numFmtId="49" fontId="0" fillId="10" borderId="30" xfId="0" applyNumberFormat="1" applyFill="1" applyBorder="1" applyAlignment="1">
      <alignment horizontal="center"/>
    </xf>
    <xf numFmtId="20" fontId="0" fillId="10" borderId="25" xfId="0" applyNumberFormat="1" applyFill="1" applyBorder="1" applyAlignment="1">
      <alignment horizontal="center"/>
    </xf>
    <xf numFmtId="49" fontId="4" fillId="6" borderId="18" xfId="0" applyNumberFormat="1" applyFont="1" applyFill="1" applyBorder="1" applyAlignment="1">
      <alignment horizontal="center"/>
    </xf>
    <xf numFmtId="165" fontId="0" fillId="0" borderId="40" xfId="0" applyNumberFormat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2" fontId="0" fillId="11" borderId="31" xfId="0" applyNumberFormat="1" applyFill="1" applyBorder="1" applyAlignment="1">
      <alignment horizontal="left"/>
    </xf>
    <xf numFmtId="2" fontId="0" fillId="10" borderId="31" xfId="0" applyNumberFormat="1" applyFill="1" applyBorder="1" applyAlignment="1">
      <alignment horizontal="left"/>
    </xf>
    <xf numFmtId="2" fontId="7" fillId="0" borderId="31" xfId="0" applyNumberFormat="1" applyFont="1" applyBorder="1" applyAlignment="1">
      <alignment horizontal="left"/>
    </xf>
    <xf numFmtId="2" fontId="0" fillId="0" borderId="31" xfId="0" applyNumberFormat="1" applyBorder="1" applyAlignment="1">
      <alignment horizontal="left"/>
    </xf>
    <xf numFmtId="2" fontId="0" fillId="9" borderId="31" xfId="0" applyNumberFormat="1" applyFill="1" applyBorder="1" applyAlignment="1">
      <alignment horizontal="left"/>
    </xf>
    <xf numFmtId="2" fontId="7" fillId="10" borderId="31" xfId="0" applyNumberFormat="1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49" fontId="0" fillId="10" borderId="29" xfId="0" applyNumberFormat="1" applyFill="1" applyBorder="1" applyAlignment="1">
      <alignment horizontal="center"/>
    </xf>
    <xf numFmtId="0" fontId="0" fillId="0" borderId="24" xfId="0" applyBorder="1" applyAlignment="1">
      <alignment horizontal="center"/>
    </xf>
    <xf numFmtId="49" fontId="7" fillId="13" borderId="25" xfId="0" applyNumberFormat="1" applyFont="1" applyFill="1" applyBorder="1" applyAlignment="1">
      <alignment horizontal="center"/>
    </xf>
    <xf numFmtId="164" fontId="0" fillId="13" borderId="39" xfId="0" applyNumberFormat="1" applyFill="1" applyBorder="1" applyAlignment="1">
      <alignment horizontal="center"/>
    </xf>
    <xf numFmtId="20" fontId="0" fillId="13" borderId="39" xfId="0" applyNumberFormat="1" applyFill="1" applyBorder="1" applyAlignment="1">
      <alignment horizontal="center"/>
    </xf>
    <xf numFmtId="49" fontId="0" fillId="13" borderId="39" xfId="0" applyNumberFormat="1" applyFill="1" applyBorder="1" applyAlignment="1">
      <alignment horizontal="center"/>
    </xf>
    <xf numFmtId="0" fontId="0" fillId="13" borderId="39" xfId="0" applyFill="1" applyBorder="1"/>
    <xf numFmtId="0" fontId="0" fillId="13" borderId="40" xfId="0" applyFill="1" applyBorder="1"/>
    <xf numFmtId="2" fontId="0" fillId="13" borderId="39" xfId="0" applyNumberFormat="1" applyFill="1" applyBorder="1" applyAlignment="1">
      <alignment horizontal="center"/>
    </xf>
    <xf numFmtId="1" fontId="0" fillId="13" borderId="39" xfId="0" applyNumberFormat="1" applyFill="1" applyBorder="1" applyAlignment="1">
      <alignment horizontal="center"/>
    </xf>
    <xf numFmtId="2" fontId="0" fillId="13" borderId="40" xfId="0" applyNumberFormat="1" applyFill="1" applyBorder="1" applyAlignment="1">
      <alignment horizontal="center"/>
    </xf>
    <xf numFmtId="2" fontId="0" fillId="13" borderId="41" xfId="0" applyNumberFormat="1" applyFill="1" applyBorder="1" applyAlignment="1">
      <alignment horizontal="center"/>
    </xf>
    <xf numFmtId="2" fontId="7" fillId="13" borderId="39" xfId="0" applyNumberFormat="1" applyFont="1" applyFill="1" applyBorder="1" applyAlignment="1">
      <alignment horizontal="center"/>
    </xf>
    <xf numFmtId="49" fontId="7" fillId="14" borderId="24" xfId="0" applyNumberFormat="1" applyFont="1" applyFill="1" applyBorder="1" applyAlignment="1">
      <alignment horizontal="center"/>
    </xf>
    <xf numFmtId="49" fontId="0" fillId="14" borderId="24" xfId="0" applyNumberFormat="1" applyFill="1" applyBorder="1" applyAlignment="1">
      <alignment horizontal="center"/>
    </xf>
    <xf numFmtId="164" fontId="7" fillId="14" borderId="24" xfId="0" applyNumberFormat="1" applyFont="1" applyFill="1" applyBorder="1" applyAlignment="1">
      <alignment horizontal="center"/>
    </xf>
    <xf numFmtId="20" fontId="0" fillId="14" borderId="0" xfId="0" applyNumberFormat="1" applyFill="1" applyAlignment="1">
      <alignment horizontal="center"/>
    </xf>
    <xf numFmtId="1" fontId="0" fillId="14" borderId="31" xfId="0" applyNumberFormat="1" applyFill="1" applyBorder="1" applyAlignment="1">
      <alignment horizontal="center"/>
    </xf>
    <xf numFmtId="2" fontId="0" fillId="14" borderId="29" xfId="0" applyNumberFormat="1" applyFill="1" applyBorder="1" applyAlignment="1">
      <alignment horizontal="center"/>
    </xf>
    <xf numFmtId="2" fontId="0" fillId="14" borderId="24" xfId="0" applyNumberFormat="1" applyFill="1" applyBorder="1" applyAlignment="1">
      <alignment horizontal="center"/>
    </xf>
    <xf numFmtId="2" fontId="0" fillId="14" borderId="25" xfId="0" applyNumberFormat="1" applyFill="1" applyBorder="1" applyAlignment="1">
      <alignment horizontal="center"/>
    </xf>
    <xf numFmtId="2" fontId="0" fillId="14" borderId="31" xfId="0" applyNumberFormat="1" applyFill="1" applyBorder="1" applyAlignment="1">
      <alignment horizontal="center"/>
    </xf>
    <xf numFmtId="1" fontId="0" fillId="14" borderId="24" xfId="0" applyNumberFormat="1" applyFill="1" applyBorder="1" applyAlignment="1">
      <alignment horizontal="center"/>
    </xf>
    <xf numFmtId="2" fontId="2" fillId="14" borderId="33" xfId="3" applyNumberFormat="1" applyFill="1" applyBorder="1" applyAlignment="1">
      <alignment horizontal="center"/>
    </xf>
    <xf numFmtId="49" fontId="7" fillId="14" borderId="30" xfId="0" applyNumberFormat="1" applyFont="1" applyFill="1" applyBorder="1" applyAlignment="1">
      <alignment horizontal="center"/>
    </xf>
    <xf numFmtId="2" fontId="0" fillId="0" borderId="44" xfId="0" applyNumberFormat="1" applyBorder="1" applyAlignment="1">
      <alignment horizontal="center"/>
    </xf>
    <xf numFmtId="2" fontId="2" fillId="15" borderId="33" xfId="3" applyNumberFormat="1" applyFill="1" applyBorder="1" applyAlignment="1">
      <alignment horizontal="center"/>
    </xf>
    <xf numFmtId="2" fontId="23" fillId="0" borderId="0" xfId="0" quotePrefix="1" applyNumberFormat="1" applyFont="1"/>
    <xf numFmtId="2" fontId="2" fillId="0" borderId="33" xfId="3" applyNumberForma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49" fontId="7" fillId="0" borderId="29" xfId="0" applyNumberFormat="1" applyFont="1" applyBorder="1" applyAlignment="1">
      <alignment horizontal="center"/>
    </xf>
    <xf numFmtId="0" fontId="7" fillId="0" borderId="0" xfId="0" applyFont="1"/>
    <xf numFmtId="2" fontId="7" fillId="0" borderId="0" xfId="0" applyNumberFormat="1" applyFont="1" applyAlignment="1">
      <alignment horizontal="left"/>
    </xf>
    <xf numFmtId="49" fontId="7" fillId="15" borderId="24" xfId="0" applyNumberFormat="1" applyFont="1" applyFill="1" applyBorder="1" applyAlignment="1">
      <alignment horizontal="center"/>
    </xf>
    <xf numFmtId="49" fontId="0" fillId="15" borderId="24" xfId="0" applyNumberFormat="1" applyFill="1" applyBorder="1" applyAlignment="1">
      <alignment horizontal="center"/>
    </xf>
    <xf numFmtId="0" fontId="7" fillId="0" borderId="31" xfId="0" applyFont="1" applyBorder="1" applyAlignment="1">
      <alignment horizontal="left"/>
    </xf>
    <xf numFmtId="2" fontId="7" fillId="0" borderId="29" xfId="0" applyNumberFormat="1" applyFont="1" applyBorder="1" applyAlignment="1">
      <alignment horizontal="center"/>
    </xf>
    <xf numFmtId="49" fontId="7" fillId="15" borderId="39" xfId="0" applyNumberFormat="1" applyFont="1" applyFill="1" applyBorder="1" applyAlignment="1">
      <alignment horizontal="center"/>
    </xf>
    <xf numFmtId="2" fontId="0" fillId="15" borderId="39" xfId="0" applyNumberFormat="1" applyFill="1" applyBorder="1" applyAlignment="1">
      <alignment horizontal="center"/>
    </xf>
    <xf numFmtId="2" fontId="0" fillId="15" borderId="0" xfId="0" applyNumberFormat="1" applyFill="1" applyAlignment="1">
      <alignment horizontal="center"/>
    </xf>
    <xf numFmtId="49" fontId="0" fillId="15" borderId="39" xfId="0" applyNumberFormat="1" applyFill="1" applyBorder="1" applyAlignment="1">
      <alignment horizontal="center"/>
    </xf>
    <xf numFmtId="1" fontId="0" fillId="16" borderId="39" xfId="0" applyNumberFormat="1" applyFill="1" applyBorder="1" applyAlignment="1">
      <alignment horizontal="center"/>
    </xf>
    <xf numFmtId="2" fontId="0" fillId="15" borderId="24" xfId="0" applyNumberFormat="1" applyFill="1" applyBorder="1" applyAlignment="1">
      <alignment horizontal="center"/>
    </xf>
    <xf numFmtId="2" fontId="2" fillId="17" borderId="33" xfId="3" applyNumberFormat="1" applyFill="1" applyBorder="1" applyAlignment="1">
      <alignment horizontal="center"/>
    </xf>
    <xf numFmtId="2" fontId="0" fillId="15" borderId="30" xfId="0" applyNumberFormat="1" applyFill="1" applyBorder="1" applyAlignment="1">
      <alignment horizontal="center"/>
    </xf>
    <xf numFmtId="2" fontId="0" fillId="15" borderId="29" xfId="0" applyNumberFormat="1" applyFill="1" applyBorder="1" applyAlignment="1">
      <alignment horizontal="center"/>
    </xf>
    <xf numFmtId="2" fontId="0" fillId="15" borderId="25" xfId="0" applyNumberFormat="1" applyFill="1" applyBorder="1" applyAlignment="1">
      <alignment horizontal="center"/>
    </xf>
    <xf numFmtId="49" fontId="7" fillId="15" borderId="30" xfId="0" applyNumberFormat="1" applyFont="1" applyFill="1" applyBorder="1" applyAlignment="1">
      <alignment horizontal="center"/>
    </xf>
    <xf numFmtId="1" fontId="0" fillId="15" borderId="24" xfId="0" applyNumberFormat="1" applyFill="1" applyBorder="1" applyAlignment="1">
      <alignment horizontal="center"/>
    </xf>
    <xf numFmtId="0" fontId="0" fillId="15" borderId="0" xfId="0" applyFill="1"/>
    <xf numFmtId="2" fontId="7" fillId="15" borderId="24" xfId="0" applyNumberFormat="1" applyFont="1" applyFill="1" applyBorder="1" applyAlignment="1">
      <alignment horizontal="left"/>
    </xf>
    <xf numFmtId="164" fontId="7" fillId="15" borderId="24" xfId="0" applyNumberFormat="1" applyFont="1" applyFill="1" applyBorder="1" applyAlignment="1">
      <alignment horizontal="center"/>
    </xf>
    <xf numFmtId="20" fontId="0" fillId="15" borderId="0" xfId="0" applyNumberFormat="1" applyFill="1" applyAlignment="1">
      <alignment horizontal="center"/>
    </xf>
    <xf numFmtId="1" fontId="0" fillId="15" borderId="31" xfId="0" applyNumberFormat="1" applyFill="1" applyBorder="1" applyAlignment="1">
      <alignment horizontal="center"/>
    </xf>
    <xf numFmtId="2" fontId="0" fillId="15" borderId="31" xfId="0" applyNumberFormat="1" applyFill="1" applyBorder="1" applyAlignment="1">
      <alignment horizontal="center"/>
    </xf>
    <xf numFmtId="1" fontId="0" fillId="16" borderId="24" xfId="0" applyNumberFormat="1" applyFill="1" applyBorder="1" applyAlignment="1">
      <alignment horizontal="center"/>
    </xf>
    <xf numFmtId="0" fontId="0" fillId="18" borderId="0" xfId="0" applyFill="1" applyAlignment="1">
      <alignment horizontal="center"/>
    </xf>
    <xf numFmtId="2" fontId="7" fillId="15" borderId="25" xfId="0" applyNumberFormat="1" applyFont="1" applyFill="1" applyBorder="1"/>
    <xf numFmtId="2" fontId="7" fillId="14" borderId="25" xfId="0" applyNumberFormat="1" applyFont="1" applyFill="1" applyBorder="1"/>
    <xf numFmtId="2" fontId="7" fillId="0" borderId="25" xfId="0" applyNumberFormat="1" applyFont="1" applyBorder="1"/>
    <xf numFmtId="2" fontId="0" fillId="15" borderId="46" xfId="0" applyNumberFormat="1" applyFill="1" applyBorder="1" applyAlignment="1">
      <alignment horizontal="center"/>
    </xf>
    <xf numFmtId="2" fontId="0" fillId="0" borderId="46" xfId="0" applyNumberFormat="1" applyBorder="1" applyAlignment="1">
      <alignment horizontal="center"/>
    </xf>
    <xf numFmtId="2" fontId="0" fillId="14" borderId="46" xfId="0" applyNumberFormat="1" applyFill="1" applyBorder="1" applyAlignment="1">
      <alignment horizontal="center"/>
    </xf>
    <xf numFmtId="2" fontId="0" fillId="0" borderId="38" xfId="0" applyNumberFormat="1" applyBorder="1" applyAlignment="1">
      <alignment horizontal="left"/>
    </xf>
    <xf numFmtId="2" fontId="7" fillId="15" borderId="38" xfId="0" applyNumberFormat="1" applyFont="1" applyFill="1" applyBorder="1" applyAlignment="1">
      <alignment horizontal="left"/>
    </xf>
    <xf numFmtId="2" fontId="7" fillId="14" borderId="38" xfId="0" applyNumberFormat="1" applyFont="1" applyFill="1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47" xfId="0" applyBorder="1"/>
    <xf numFmtId="49" fontId="0" fillId="0" borderId="4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0" fontId="7" fillId="0" borderId="47" xfId="0" applyFont="1" applyBorder="1" applyAlignment="1">
      <alignment horizontal="center"/>
    </xf>
    <xf numFmtId="49" fontId="7" fillId="0" borderId="47" xfId="0" applyNumberFormat="1" applyFont="1" applyBorder="1" applyAlignment="1">
      <alignment horizontal="center"/>
    </xf>
    <xf numFmtId="2" fontId="0" fillId="10" borderId="47" xfId="0" applyNumberFormat="1" applyFill="1" applyBorder="1" applyAlignment="1">
      <alignment horizontal="center"/>
    </xf>
    <xf numFmtId="49" fontId="0" fillId="10" borderId="47" xfId="0" applyNumberFormat="1" applyFill="1" applyBorder="1" applyAlignment="1">
      <alignment horizontal="center"/>
    </xf>
    <xf numFmtId="2" fontId="0" fillId="9" borderId="47" xfId="0" applyNumberFormat="1" applyFill="1" applyBorder="1" applyAlignment="1">
      <alignment horizontal="center"/>
    </xf>
    <xf numFmtId="2" fontId="0" fillId="15" borderId="47" xfId="0" applyNumberFormat="1" applyFill="1" applyBorder="1" applyAlignment="1">
      <alignment horizontal="center"/>
    </xf>
    <xf numFmtId="49" fontId="0" fillId="15" borderId="47" xfId="0" applyNumberFormat="1" applyFill="1" applyBorder="1" applyAlignment="1">
      <alignment horizontal="center"/>
    </xf>
    <xf numFmtId="2" fontId="7" fillId="15" borderId="47" xfId="0" applyNumberFormat="1" applyFont="1" applyFill="1" applyBorder="1" applyAlignment="1">
      <alignment horizontal="center"/>
    </xf>
    <xf numFmtId="2" fontId="0" fillId="14" borderId="47" xfId="0" applyNumberFormat="1" applyFill="1" applyBorder="1" applyAlignment="1">
      <alignment horizontal="center"/>
    </xf>
    <xf numFmtId="49" fontId="0" fillId="14" borderId="47" xfId="0" applyNumberFormat="1" applyFill="1" applyBorder="1" applyAlignment="1">
      <alignment horizontal="center"/>
    </xf>
    <xf numFmtId="2" fontId="7" fillId="0" borderId="47" xfId="0" applyNumberFormat="1" applyFon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1" fontId="7" fillId="0" borderId="40" xfId="0" applyNumberFormat="1" applyFont="1" applyBorder="1" applyAlignment="1">
      <alignment horizontal="center"/>
    </xf>
    <xf numFmtId="165" fontId="0" fillId="9" borderId="40" xfId="0" applyNumberFormat="1" applyFill="1" applyBorder="1" applyAlignment="1">
      <alignment horizontal="center"/>
    </xf>
    <xf numFmtId="165" fontId="0" fillId="10" borderId="40" xfId="0" applyNumberFormat="1" applyFill="1" applyBorder="1" applyAlignment="1">
      <alignment horizontal="center"/>
    </xf>
    <xf numFmtId="165" fontId="0" fillId="13" borderId="40" xfId="0" applyNumberFormat="1" applyFill="1" applyBorder="1" applyAlignment="1">
      <alignment horizontal="center"/>
    </xf>
    <xf numFmtId="0" fontId="0" fillId="13" borderId="42" xfId="0" applyFill="1" applyBorder="1" applyAlignment="1">
      <alignment horizontal="left"/>
    </xf>
    <xf numFmtId="164" fontId="7" fillId="0" borderId="25" xfId="0" applyNumberFormat="1" applyFont="1" applyBorder="1" applyAlignment="1">
      <alignment horizontal="center"/>
    </xf>
    <xf numFmtId="164" fontId="7" fillId="10" borderId="25" xfId="0" applyNumberFormat="1" applyFont="1" applyFill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164" fontId="0" fillId="15" borderId="40" xfId="0" applyNumberFormat="1" applyFill="1" applyBorder="1" applyAlignment="1">
      <alignment horizontal="center"/>
    </xf>
    <xf numFmtId="165" fontId="0" fillId="10" borderId="29" xfId="0" applyNumberFormat="1" applyFill="1" applyBorder="1" applyAlignment="1">
      <alignment horizontal="center"/>
    </xf>
    <xf numFmtId="1" fontId="7" fillId="0" borderId="29" xfId="0" applyNumberFormat="1" applyFont="1" applyBorder="1" applyAlignment="1">
      <alignment horizontal="center"/>
    </xf>
    <xf numFmtId="1" fontId="7" fillId="15" borderId="29" xfId="0" applyNumberFormat="1" applyFont="1" applyFill="1" applyBorder="1" applyAlignment="1">
      <alignment horizontal="center"/>
    </xf>
    <xf numFmtId="20" fontId="0" fillId="0" borderId="45" xfId="0" applyNumberFormat="1" applyBorder="1" applyAlignment="1">
      <alignment horizontal="center"/>
    </xf>
    <xf numFmtId="20" fontId="0" fillId="10" borderId="45" xfId="0" applyNumberFormat="1" applyFill="1" applyBorder="1" applyAlignment="1">
      <alignment horizontal="center"/>
    </xf>
    <xf numFmtId="49" fontId="0" fillId="10" borderId="45" xfId="0" applyNumberFormat="1" applyFill="1" applyBorder="1" applyAlignment="1">
      <alignment horizontal="center"/>
    </xf>
    <xf numFmtId="20" fontId="0" fillId="15" borderId="45" xfId="0" applyNumberFormat="1" applyFill="1" applyBorder="1" applyAlignment="1">
      <alignment horizontal="center"/>
    </xf>
    <xf numFmtId="0" fontId="0" fillId="0" borderId="24" xfId="0" applyBorder="1"/>
    <xf numFmtId="0" fontId="0" fillId="15" borderId="24" xfId="0" applyFill="1" applyBorder="1"/>
    <xf numFmtId="2" fontId="0" fillId="15" borderId="42" xfId="0" applyNumberFormat="1" applyFill="1" applyBorder="1" applyAlignment="1">
      <alignment horizontal="center"/>
    </xf>
    <xf numFmtId="2" fontId="0" fillId="11" borderId="45" xfId="0" applyNumberFormat="1" applyFill="1" applyBorder="1" applyAlignment="1">
      <alignment horizontal="left"/>
    </xf>
    <xf numFmtId="2" fontId="0" fillId="10" borderId="45" xfId="0" applyNumberFormat="1" applyFill="1" applyBorder="1" applyAlignment="1">
      <alignment horizontal="left"/>
    </xf>
    <xf numFmtId="2" fontId="7" fillId="0" borderId="45" xfId="0" applyNumberFormat="1" applyFont="1" applyBorder="1" applyAlignment="1">
      <alignment horizontal="left"/>
    </xf>
    <xf numFmtId="49" fontId="0" fillId="10" borderId="45" xfId="0" applyNumberFormat="1" applyFill="1" applyBorder="1" applyAlignment="1">
      <alignment horizontal="left"/>
    </xf>
    <xf numFmtId="0" fontId="0" fillId="0" borderId="45" xfId="0" applyBorder="1" applyAlignment="1">
      <alignment horizontal="left"/>
    </xf>
    <xf numFmtId="0" fontId="7" fillId="0" borderId="45" xfId="0" applyFont="1" applyBorder="1" applyAlignment="1">
      <alignment horizontal="left"/>
    </xf>
    <xf numFmtId="0" fontId="7" fillId="15" borderId="45" xfId="0" applyFont="1" applyFill="1" applyBorder="1" applyAlignment="1">
      <alignment horizontal="left"/>
    </xf>
    <xf numFmtId="0" fontId="0" fillId="0" borderId="45" xfId="0" applyBorder="1" applyAlignment="1">
      <alignment horizontal="center"/>
    </xf>
    <xf numFmtId="0" fontId="7" fillId="0" borderId="45" xfId="0" applyFont="1" applyBorder="1" applyAlignment="1">
      <alignment horizontal="center"/>
    </xf>
    <xf numFmtId="165" fontId="0" fillId="10" borderId="0" xfId="0" applyNumberFormat="1" applyFill="1" applyAlignment="1">
      <alignment horizontal="center"/>
    </xf>
    <xf numFmtId="165" fontId="0" fillId="10" borderId="48" xfId="0" applyNumberFormat="1" applyFill="1" applyBorder="1" applyAlignment="1">
      <alignment horizontal="center"/>
    </xf>
    <xf numFmtId="0" fontId="0" fillId="0" borderId="48" xfId="0" applyBorder="1"/>
    <xf numFmtId="49" fontId="0" fillId="10" borderId="48" xfId="0" applyNumberFormat="1" applyFill="1" applyBorder="1" applyAlignment="1">
      <alignment horizontal="center"/>
    </xf>
    <xf numFmtId="0" fontId="0" fillId="15" borderId="48" xfId="0" applyFill="1" applyBorder="1"/>
    <xf numFmtId="1" fontId="0" fillId="19" borderId="24" xfId="0" applyNumberFormat="1" applyFill="1" applyBorder="1" applyAlignment="1">
      <alignment horizontal="center"/>
    </xf>
    <xf numFmtId="2" fontId="0" fillId="15" borderId="33" xfId="0" applyNumberFormat="1" applyFill="1" applyBorder="1" applyAlignment="1">
      <alignment horizontal="center"/>
    </xf>
    <xf numFmtId="165" fontId="0" fillId="11" borderId="45" xfId="0" applyNumberFormat="1" applyFill="1" applyBorder="1" applyAlignment="1">
      <alignment horizontal="center"/>
    </xf>
    <xf numFmtId="165" fontId="0" fillId="10" borderId="45" xfId="0" applyNumberFormat="1" applyFill="1" applyBorder="1" applyAlignment="1">
      <alignment horizontal="center"/>
    </xf>
    <xf numFmtId="1" fontId="0" fillId="0" borderId="45" xfId="0" applyNumberFormat="1" applyBorder="1" applyAlignment="1">
      <alignment horizontal="center"/>
    </xf>
    <xf numFmtId="165" fontId="0" fillId="0" borderId="45" xfId="0" applyNumberFormat="1" applyBorder="1" applyAlignment="1">
      <alignment horizontal="center"/>
    </xf>
    <xf numFmtId="165" fontId="0" fillId="9" borderId="45" xfId="0" applyNumberFormat="1" applyFill="1" applyBorder="1" applyAlignment="1">
      <alignment horizontal="center"/>
    </xf>
    <xf numFmtId="2" fontId="7" fillId="10" borderId="45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2" fontId="0" fillId="9" borderId="0" xfId="0" applyNumberFormat="1" applyFill="1" applyAlignment="1">
      <alignment horizontal="center"/>
    </xf>
    <xf numFmtId="165" fontId="0" fillId="9" borderId="0" xfId="0" applyNumberFormat="1" applyFill="1" applyAlignment="1">
      <alignment horizontal="center"/>
    </xf>
    <xf numFmtId="49" fontId="7" fillId="0" borderId="48" xfId="0" applyNumberFormat="1" applyFont="1" applyBorder="1" applyAlignment="1">
      <alignment horizontal="center"/>
    </xf>
    <xf numFmtId="2" fontId="0" fillId="0" borderId="48" xfId="0" applyNumberFormat="1" applyBorder="1" applyAlignment="1">
      <alignment horizontal="center"/>
    </xf>
    <xf numFmtId="2" fontId="0" fillId="10" borderId="48" xfId="0" applyNumberFormat="1" applyFill="1" applyBorder="1" applyAlignment="1">
      <alignment horizontal="center"/>
    </xf>
    <xf numFmtId="49" fontId="0" fillId="0" borderId="48" xfId="0" applyNumberFormat="1" applyBorder="1" applyAlignment="1">
      <alignment horizontal="center"/>
    </xf>
    <xf numFmtId="165" fontId="0" fillId="0" borderId="48" xfId="0" applyNumberFormat="1" applyBorder="1" applyAlignment="1">
      <alignment horizontal="center"/>
    </xf>
    <xf numFmtId="2" fontId="0" fillId="9" borderId="48" xfId="0" applyNumberFormat="1" applyFill="1" applyBorder="1" applyAlignment="1">
      <alignment horizontal="center"/>
    </xf>
    <xf numFmtId="49" fontId="0" fillId="9" borderId="48" xfId="0" applyNumberFormat="1" applyFill="1" applyBorder="1" applyAlignment="1">
      <alignment horizontal="center"/>
    </xf>
    <xf numFmtId="165" fontId="0" fillId="9" borderId="48" xfId="0" applyNumberFormat="1" applyFill="1" applyBorder="1" applyAlignment="1">
      <alignment horizontal="center"/>
    </xf>
    <xf numFmtId="2" fontId="7" fillId="10" borderId="48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65" fontId="7" fillId="5" borderId="12" xfId="0" applyNumberFormat="1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4" xfId="0" applyFont="1" applyBorder="1"/>
    <xf numFmtId="0" fontId="15" fillId="0" borderId="4" xfId="0" applyFont="1" applyBorder="1"/>
    <xf numFmtId="14" fontId="7" fillId="0" borderId="24" xfId="0" applyNumberFormat="1" applyFont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tas 2" xfId="2" xr:uid="{00000000-0005-0000-0000-000002000000}"/>
    <cellStyle name="TableStyleLight1" xfId="3" xr:uid="{00000000-0005-0000-0000-000003000000}"/>
    <cellStyle name="Título 1" xfId="4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181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9999"/>
      <rgbColor rgb="009999FF"/>
      <rgbColor rgb="00993366"/>
      <rgbColor rgb="00FFFFCC"/>
      <rgbColor rgb="00CCFFFF"/>
      <rgbColor rgb="00660066"/>
      <rgbColor rgb="00FAA61A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5822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C3C3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5"/>
  <sheetViews>
    <sheetView zoomScale="80" zoomScaleNormal="80" workbookViewId="0">
      <selection activeCell="B5" activeCellId="1" sqref="H47:J47 B5"/>
    </sheetView>
  </sheetViews>
  <sheetFormatPr defaultColWidth="10.81640625" defaultRowHeight="12.5" x14ac:dyDescent="0.25"/>
  <cols>
    <col min="1" max="1" width="11.81640625" style="1" customWidth="1"/>
    <col min="2" max="2" width="96" style="1" customWidth="1"/>
  </cols>
  <sheetData>
    <row r="1" spans="1:2" ht="13" x14ac:dyDescent="0.3">
      <c r="A1" s="381" t="s">
        <v>0</v>
      </c>
      <c r="B1" s="381"/>
    </row>
    <row r="2" spans="1:2" ht="15" x14ac:dyDescent="0.25">
      <c r="A2" s="2" t="s">
        <v>1</v>
      </c>
      <c r="B2" s="3" t="s">
        <v>2</v>
      </c>
    </row>
    <row r="3" spans="1:2" ht="15" x14ac:dyDescent="0.25">
      <c r="A3" s="2" t="s">
        <v>3</v>
      </c>
      <c r="B3" s="3" t="s">
        <v>4</v>
      </c>
    </row>
    <row r="4" spans="1:2" ht="15" x14ac:dyDescent="0.25">
      <c r="A4" s="2" t="s">
        <v>5</v>
      </c>
      <c r="B4" s="3" t="s">
        <v>6</v>
      </c>
    </row>
    <row r="5" spans="1:2" ht="50" x14ac:dyDescent="0.25">
      <c r="A5" s="4" t="s">
        <v>7</v>
      </c>
      <c r="B5" s="3" t="s">
        <v>8</v>
      </c>
    </row>
    <row r="6" spans="1:2" ht="76.5" customHeight="1" x14ac:dyDescent="0.25">
      <c r="A6" s="5" t="s">
        <v>9</v>
      </c>
      <c r="B6" s="6" t="s">
        <v>10</v>
      </c>
    </row>
    <row r="7" spans="1:2" ht="15" x14ac:dyDescent="0.25">
      <c r="A7" s="2" t="s">
        <v>11</v>
      </c>
      <c r="B7" s="3" t="s">
        <v>12</v>
      </c>
    </row>
    <row r="8" spans="1:2" ht="15" x14ac:dyDescent="0.25">
      <c r="A8" s="2" t="s">
        <v>13</v>
      </c>
      <c r="B8" s="3" t="s">
        <v>14</v>
      </c>
    </row>
    <row r="9" spans="1:2" ht="15" x14ac:dyDescent="0.25">
      <c r="A9" s="4" t="s">
        <v>15</v>
      </c>
      <c r="B9" s="3" t="s">
        <v>16</v>
      </c>
    </row>
    <row r="10" spans="1:2" ht="13" x14ac:dyDescent="0.25">
      <c r="A10" s="7"/>
      <c r="B10" s="3"/>
    </row>
    <row r="11" spans="1:2" ht="13" x14ac:dyDescent="0.3">
      <c r="A11" s="381" t="s">
        <v>17</v>
      </c>
      <c r="B11" s="381"/>
    </row>
    <row r="12" spans="1:2" ht="25" x14ac:dyDescent="0.25">
      <c r="A12" s="8" t="s">
        <v>18</v>
      </c>
      <c r="B12" s="6" t="s">
        <v>19</v>
      </c>
    </row>
    <row r="13" spans="1:2" ht="37.5" x14ac:dyDescent="0.25">
      <c r="A13" s="8" t="s">
        <v>20</v>
      </c>
      <c r="B13" s="3" t="s">
        <v>21</v>
      </c>
    </row>
    <row r="14" spans="1:2" ht="25" x14ac:dyDescent="0.25">
      <c r="A14" s="9" t="s">
        <v>22</v>
      </c>
      <c r="B14" s="6" t="s">
        <v>23</v>
      </c>
    </row>
    <row r="15" spans="1:2" ht="50" x14ac:dyDescent="0.25">
      <c r="A15" s="10" t="s">
        <v>24</v>
      </c>
      <c r="B15" s="3" t="s">
        <v>25</v>
      </c>
    </row>
    <row r="16" spans="1:2" ht="25" x14ac:dyDescent="0.25">
      <c r="A16" s="10" t="s">
        <v>26</v>
      </c>
      <c r="B16" s="6" t="s">
        <v>27</v>
      </c>
    </row>
    <row r="17" spans="1:2" ht="50" x14ac:dyDescent="0.25">
      <c r="A17" s="11" t="s">
        <v>28</v>
      </c>
      <c r="B17" s="3" t="s">
        <v>29</v>
      </c>
    </row>
    <row r="18" spans="1:2" ht="25" x14ac:dyDescent="0.25">
      <c r="A18" s="8" t="s">
        <v>30</v>
      </c>
      <c r="B18" s="6" t="s">
        <v>31</v>
      </c>
    </row>
    <row r="19" spans="1:2" ht="13" x14ac:dyDescent="0.25">
      <c r="A19" s="12"/>
      <c r="B19" s="3"/>
    </row>
    <row r="20" spans="1:2" ht="13" x14ac:dyDescent="0.3">
      <c r="A20" s="381" t="s">
        <v>32</v>
      </c>
      <c r="B20" s="381"/>
    </row>
    <row r="21" spans="1:2" ht="13" x14ac:dyDescent="0.25">
      <c r="A21" s="8" t="s">
        <v>33</v>
      </c>
      <c r="B21" s="3" t="s">
        <v>34</v>
      </c>
    </row>
    <row r="22" spans="1:2" ht="25" x14ac:dyDescent="0.25">
      <c r="A22" s="8" t="s">
        <v>30</v>
      </c>
      <c r="B22" s="3" t="s">
        <v>35</v>
      </c>
    </row>
    <row r="23" spans="1:2" ht="28.5" x14ac:dyDescent="0.25">
      <c r="A23" s="8" t="s">
        <v>36</v>
      </c>
      <c r="B23" s="3" t="s">
        <v>37</v>
      </c>
    </row>
    <row r="24" spans="1:2" ht="25.5" customHeight="1" x14ac:dyDescent="0.25">
      <c r="A24" s="8" t="s">
        <v>38</v>
      </c>
      <c r="B24" s="3" t="s">
        <v>39</v>
      </c>
    </row>
    <row r="25" spans="1:2" ht="29.25" customHeight="1" x14ac:dyDescent="0.25">
      <c r="A25" s="10" t="s">
        <v>40</v>
      </c>
      <c r="B25" s="13" t="s">
        <v>41</v>
      </c>
    </row>
  </sheetData>
  <sheetProtection selectLockedCells="1" selectUnlockedCells="1"/>
  <mergeCells count="3">
    <mergeCell ref="A1:B1"/>
    <mergeCell ref="A11:B11"/>
    <mergeCell ref="A20:B20"/>
  </mergeCells>
  <printOptions horizontalCentered="1" verticalCentered="1"/>
  <pageMargins left="0.75" right="0.75" top="1" bottom="1" header="0.51180555555555551" footer="0"/>
  <pageSetup paperSize="9" firstPageNumber="0" orientation="landscape" horizontalDpi="300" verticalDpi="300"/>
  <headerFooter alignWithMargins="0">
    <oddFooter>&amp;C&amp;A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X79"/>
  <sheetViews>
    <sheetView zoomScaleNormal="100" workbookViewId="0">
      <pane xSplit="1" ySplit="3" topLeftCell="B43" activePane="bottomRight" state="frozen"/>
      <selection pane="topRight" activeCell="B1" sqref="B1"/>
      <selection pane="bottomLeft" activeCell="A4" sqref="A4"/>
      <selection pane="bottomRight" activeCell="B55" sqref="B55"/>
    </sheetView>
  </sheetViews>
  <sheetFormatPr defaultColWidth="11.08984375" defaultRowHeight="12.5" x14ac:dyDescent="0.25"/>
  <cols>
    <col min="1" max="4" width="9.36328125" style="14" customWidth="1"/>
    <col min="5" max="5" width="9.36328125" style="15" customWidth="1"/>
    <col min="6" max="6" width="9.08984375" style="16" customWidth="1"/>
    <col min="7" max="7" width="15.54296875" style="17" customWidth="1"/>
    <col min="8" max="10" width="12" style="17" customWidth="1"/>
    <col min="11" max="11" width="7.08984375" style="14" customWidth="1"/>
    <col min="12" max="12" width="8.81640625" style="14" customWidth="1"/>
    <col min="13" max="15" width="12" style="14" customWidth="1"/>
    <col min="16" max="16" width="30.54296875" style="18" customWidth="1"/>
    <col min="17" max="20" width="6.54296875" style="19" customWidth="1"/>
    <col min="21" max="38" width="4.54296875" style="19" customWidth="1"/>
    <col min="39" max="39" width="7.81640625" style="19" customWidth="1"/>
    <col min="40" max="40" width="6.54296875" style="19" customWidth="1"/>
    <col min="41" max="42" width="30.54296875" style="19" customWidth="1"/>
    <col min="43" max="43" width="6.54296875" style="19" customWidth="1"/>
    <col min="44" max="46" width="12" style="19" customWidth="1"/>
    <col min="47" max="47" width="6.54296875" customWidth="1"/>
    <col min="48" max="48" width="30.54296875" style="14" customWidth="1"/>
    <col min="49" max="49" width="11.08984375" style="18" customWidth="1"/>
    <col min="50" max="50" width="6.54296875" style="19" customWidth="1"/>
    <col min="51" max="16384" width="11.08984375" style="18"/>
  </cols>
  <sheetData>
    <row r="1" spans="1:50" s="35" customFormat="1" ht="15" x14ac:dyDescent="0.4">
      <c r="A1" s="20" t="s">
        <v>42</v>
      </c>
      <c r="B1" s="169" t="s">
        <v>262</v>
      </c>
      <c r="C1" s="22" t="s">
        <v>43</v>
      </c>
      <c r="D1" s="23" t="s">
        <v>266</v>
      </c>
      <c r="E1" s="24" t="s">
        <v>44</v>
      </c>
      <c r="F1" s="25" t="s">
        <v>265</v>
      </c>
      <c r="G1" s="26" t="s">
        <v>45</v>
      </c>
      <c r="H1" s="27" t="s">
        <v>46</v>
      </c>
      <c r="I1" s="28"/>
      <c r="J1" s="27"/>
      <c r="K1" s="29"/>
      <c r="L1" s="30" t="s">
        <v>47</v>
      </c>
      <c r="M1" s="31">
        <v>633905.21799999999</v>
      </c>
      <c r="N1" s="31">
        <v>3049240.4240000001</v>
      </c>
      <c r="O1" s="31">
        <f>56.475-0.11</f>
        <v>56.365000000000002</v>
      </c>
      <c r="P1" s="32" t="s">
        <v>48</v>
      </c>
      <c r="Q1" s="33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V1" s="36"/>
      <c r="AX1" s="34"/>
    </row>
    <row r="2" spans="1:50" ht="15" x14ac:dyDescent="0.4">
      <c r="A2" s="37" t="s">
        <v>49</v>
      </c>
      <c r="B2" s="38" t="s">
        <v>50</v>
      </c>
      <c r="C2" s="39" t="s">
        <v>51</v>
      </c>
      <c r="D2" s="38" t="s">
        <v>52</v>
      </c>
      <c r="E2" s="40" t="s">
        <v>53</v>
      </c>
      <c r="F2" s="41" t="s">
        <v>54</v>
      </c>
      <c r="G2" s="42" t="s">
        <v>55</v>
      </c>
      <c r="H2" s="43" t="s">
        <v>1</v>
      </c>
      <c r="I2" s="44" t="s">
        <v>3</v>
      </c>
      <c r="J2" s="44" t="s">
        <v>5</v>
      </c>
      <c r="K2" s="44" t="s">
        <v>56</v>
      </c>
      <c r="L2" s="45" t="s">
        <v>57</v>
      </c>
      <c r="M2" s="46" t="s">
        <v>11</v>
      </c>
      <c r="N2" s="46" t="s">
        <v>58</v>
      </c>
      <c r="O2" s="46" t="s">
        <v>15</v>
      </c>
      <c r="P2" s="47" t="s">
        <v>59</v>
      </c>
      <c r="Q2" s="48" t="s">
        <v>60</v>
      </c>
      <c r="R2" s="49" t="s">
        <v>61</v>
      </c>
      <c r="S2" s="50" t="s">
        <v>22</v>
      </c>
      <c r="T2" s="51" t="s">
        <v>24</v>
      </c>
      <c r="U2" s="52"/>
      <c r="V2" s="53"/>
      <c r="W2" s="53"/>
      <c r="X2" s="53"/>
      <c r="Y2" s="53" t="s">
        <v>62</v>
      </c>
      <c r="Z2" s="53"/>
      <c r="AA2" s="53"/>
      <c r="AB2" s="53"/>
      <c r="AC2" s="54"/>
      <c r="AD2" s="53"/>
      <c r="AE2" s="53"/>
      <c r="AF2" s="53"/>
      <c r="AG2" s="53"/>
      <c r="AH2" s="53" t="s">
        <v>63</v>
      </c>
      <c r="AI2" s="53"/>
      <c r="AJ2" s="53"/>
      <c r="AK2" s="53"/>
      <c r="AL2" s="55"/>
      <c r="AM2" s="56" t="s">
        <v>64</v>
      </c>
      <c r="AN2" s="57" t="s">
        <v>65</v>
      </c>
      <c r="AO2" s="58" t="s">
        <v>66</v>
      </c>
      <c r="AP2" s="47" t="s">
        <v>67</v>
      </c>
      <c r="AQ2" s="59" t="s">
        <v>68</v>
      </c>
      <c r="AR2" s="60" t="s">
        <v>69</v>
      </c>
      <c r="AS2" s="61" t="s">
        <v>70</v>
      </c>
      <c r="AT2" s="61" t="s">
        <v>71</v>
      </c>
      <c r="AU2" s="52" t="s">
        <v>72</v>
      </c>
      <c r="AV2" s="47" t="s">
        <v>73</v>
      </c>
      <c r="AX2" s="51" t="s">
        <v>26</v>
      </c>
    </row>
    <row r="3" spans="1:50" x14ac:dyDescent="0.25">
      <c r="B3" s="62" t="s">
        <v>74</v>
      </c>
      <c r="C3" s="63" t="s">
        <v>75</v>
      </c>
      <c r="D3" s="64" t="s">
        <v>76</v>
      </c>
      <c r="E3" s="65" t="s">
        <v>77</v>
      </c>
      <c r="F3" s="65" t="s">
        <v>77</v>
      </c>
      <c r="G3" s="66"/>
      <c r="H3" s="67" t="s">
        <v>78</v>
      </c>
      <c r="I3" s="68" t="s">
        <v>79</v>
      </c>
      <c r="J3" s="69" t="s">
        <v>80</v>
      </c>
      <c r="K3" s="70"/>
      <c r="L3" s="71"/>
      <c r="M3" s="72" t="s">
        <v>81</v>
      </c>
      <c r="N3" s="68" t="s">
        <v>82</v>
      </c>
      <c r="O3" s="69" t="s">
        <v>83</v>
      </c>
      <c r="P3" s="73"/>
      <c r="Q3" s="74" t="s">
        <v>84</v>
      </c>
      <c r="R3" s="75" t="s">
        <v>84</v>
      </c>
      <c r="S3" s="76" t="s">
        <v>85</v>
      </c>
      <c r="T3" s="76" t="s">
        <v>85</v>
      </c>
      <c r="U3" s="76" t="s">
        <v>86</v>
      </c>
      <c r="V3" s="76" t="s">
        <v>87</v>
      </c>
      <c r="W3" s="76" t="s">
        <v>88</v>
      </c>
      <c r="X3" s="76" t="s">
        <v>89</v>
      </c>
      <c r="Y3" s="76" t="s">
        <v>90</v>
      </c>
      <c r="Z3" s="76" t="s">
        <v>91</v>
      </c>
      <c r="AA3" s="76" t="s">
        <v>92</v>
      </c>
      <c r="AB3" s="76" t="s">
        <v>93</v>
      </c>
      <c r="AC3" s="77" t="s">
        <v>94</v>
      </c>
      <c r="AD3" s="75" t="s">
        <v>86</v>
      </c>
      <c r="AE3" s="76" t="s">
        <v>87</v>
      </c>
      <c r="AF3" s="76" t="s">
        <v>88</v>
      </c>
      <c r="AG3" s="76" t="s">
        <v>89</v>
      </c>
      <c r="AH3" s="76" t="s">
        <v>90</v>
      </c>
      <c r="AI3" s="76" t="s">
        <v>91</v>
      </c>
      <c r="AJ3" s="76" t="s">
        <v>92</v>
      </c>
      <c r="AK3" s="76" t="s">
        <v>93</v>
      </c>
      <c r="AL3" s="76" t="s">
        <v>94</v>
      </c>
      <c r="AM3" s="76" t="s">
        <v>95</v>
      </c>
      <c r="AN3" s="76" t="s">
        <v>96</v>
      </c>
      <c r="AO3" s="76"/>
      <c r="AP3" s="77"/>
      <c r="AQ3" s="75" t="s">
        <v>84</v>
      </c>
      <c r="AR3" s="78" t="s">
        <v>78</v>
      </c>
      <c r="AS3" s="68" t="s">
        <v>79</v>
      </c>
      <c r="AT3" s="69" t="s">
        <v>80</v>
      </c>
      <c r="AU3" s="70"/>
      <c r="AV3" s="79"/>
      <c r="AX3" s="80"/>
    </row>
    <row r="4" spans="1:50" x14ac:dyDescent="0.25">
      <c r="A4" s="70"/>
      <c r="B4" s="70"/>
      <c r="C4" s="70"/>
      <c r="D4" s="70"/>
      <c r="E4" s="62"/>
      <c r="G4" s="81"/>
      <c r="H4" s="69"/>
      <c r="I4" s="82"/>
      <c r="J4" s="69"/>
      <c r="K4" s="70"/>
      <c r="L4" s="83"/>
      <c r="M4" s="247"/>
      <c r="N4" s="71"/>
      <c r="O4" s="71"/>
      <c r="P4" s="73"/>
      <c r="Q4" s="74"/>
      <c r="R4" s="75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5"/>
      <c r="AR4" s="84"/>
      <c r="AS4" s="82"/>
      <c r="AT4" s="82"/>
      <c r="AU4" s="70"/>
      <c r="AV4" s="79"/>
      <c r="AX4" s="80"/>
    </row>
    <row r="5" spans="1:50" x14ac:dyDescent="0.25">
      <c r="A5" s="70" t="s">
        <v>97</v>
      </c>
      <c r="B5" s="85"/>
      <c r="C5" s="85"/>
      <c r="D5" s="85"/>
      <c r="E5" s="86"/>
      <c r="G5" s="87"/>
      <c r="H5" s="313"/>
      <c r="I5" s="313"/>
      <c r="J5" s="313"/>
      <c r="K5" s="314"/>
      <c r="L5" s="315"/>
      <c r="M5" s="313"/>
      <c r="N5" s="313"/>
      <c r="O5" s="313"/>
      <c r="P5" s="197"/>
      <c r="Q5" s="74"/>
      <c r="R5" s="75"/>
      <c r="S5" s="88"/>
      <c r="T5" s="80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273"/>
      <c r="AN5" s="89"/>
      <c r="AO5"/>
      <c r="AP5" s="77"/>
      <c r="AQ5" s="75"/>
      <c r="AR5" s="91"/>
      <c r="AS5" s="83"/>
      <c r="AT5" s="83"/>
      <c r="AU5" s="70"/>
      <c r="AV5" s="92"/>
      <c r="AX5" s="80"/>
    </row>
    <row r="6" spans="1:50" x14ac:dyDescent="0.25">
      <c r="A6" s="70" t="s">
        <v>98</v>
      </c>
      <c r="B6" s="85"/>
      <c r="C6" s="85"/>
      <c r="D6" s="70"/>
      <c r="E6" s="86"/>
      <c r="G6" s="275"/>
      <c r="H6" s="313"/>
      <c r="I6" s="313"/>
      <c r="J6" s="313"/>
      <c r="K6" s="316"/>
      <c r="L6" s="315"/>
      <c r="M6" s="313"/>
      <c r="N6" s="313"/>
      <c r="O6" s="313"/>
      <c r="P6" s="197"/>
      <c r="Q6" s="74"/>
      <c r="R6" s="75"/>
      <c r="S6" s="88"/>
      <c r="T6" s="80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273"/>
      <c r="AN6" s="89"/>
      <c r="AO6"/>
      <c r="AP6" s="77"/>
      <c r="AQ6" s="75"/>
      <c r="AR6" s="83"/>
      <c r="AS6" s="83"/>
      <c r="AT6" s="83"/>
      <c r="AU6" s="70"/>
      <c r="AV6" s="92"/>
      <c r="AX6" s="80"/>
    </row>
    <row r="7" spans="1:50" x14ac:dyDescent="0.25">
      <c r="A7" s="70" t="s">
        <v>99</v>
      </c>
      <c r="B7" s="85"/>
      <c r="C7" s="85"/>
      <c r="D7" s="70"/>
      <c r="E7" s="86"/>
      <c r="G7" s="275"/>
      <c r="H7" s="313"/>
      <c r="I7" s="313"/>
      <c r="J7" s="313"/>
      <c r="K7" s="316"/>
      <c r="L7" s="315"/>
      <c r="M7" s="313"/>
      <c r="N7" s="313"/>
      <c r="O7" s="313"/>
      <c r="P7" s="197"/>
      <c r="Q7" s="74"/>
      <c r="R7" s="75"/>
      <c r="S7" s="88"/>
      <c r="T7" s="80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273"/>
      <c r="AN7" s="89"/>
      <c r="AO7" s="277"/>
      <c r="AP7" s="77"/>
      <c r="AQ7" s="75"/>
      <c r="AR7" s="83"/>
      <c r="AS7" s="83"/>
      <c r="AT7" s="83"/>
      <c r="AU7" s="70"/>
      <c r="AV7" s="92"/>
      <c r="AX7" s="80"/>
    </row>
    <row r="8" spans="1:50" x14ac:dyDescent="0.25">
      <c r="A8" s="70" t="s">
        <v>100</v>
      </c>
      <c r="B8" s="85"/>
      <c r="C8" s="85"/>
      <c r="D8" s="70"/>
      <c r="E8" s="86"/>
      <c r="G8" s="275"/>
      <c r="H8" s="313"/>
      <c r="I8" s="313"/>
      <c r="J8" s="313"/>
      <c r="K8" s="316"/>
      <c r="L8" s="315"/>
      <c r="M8" s="313"/>
      <c r="N8" s="313"/>
      <c r="O8" s="313"/>
      <c r="P8" s="197"/>
      <c r="Q8" s="74"/>
      <c r="R8" s="75"/>
      <c r="S8" s="88"/>
      <c r="T8" s="80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273"/>
      <c r="AN8" s="89"/>
      <c r="AO8" s="277"/>
      <c r="AP8" s="77"/>
      <c r="AQ8" s="75"/>
      <c r="AR8" s="83"/>
      <c r="AS8" s="83"/>
      <c r="AT8" s="83"/>
      <c r="AU8" s="70"/>
      <c r="AV8" s="92"/>
      <c r="AX8" s="80"/>
    </row>
    <row r="9" spans="1:50" x14ac:dyDescent="0.25">
      <c r="A9" s="70" t="s">
        <v>101</v>
      </c>
      <c r="B9" s="85"/>
      <c r="C9" s="85"/>
      <c r="D9" s="70"/>
      <c r="E9" s="86"/>
      <c r="G9" s="275"/>
      <c r="H9" s="313"/>
      <c r="I9" s="313"/>
      <c r="J9" s="313"/>
      <c r="K9" s="316"/>
      <c r="L9" s="315"/>
      <c r="M9" s="313"/>
      <c r="N9" s="313"/>
      <c r="O9" s="313"/>
      <c r="P9" s="197"/>
      <c r="Q9" s="74"/>
      <c r="R9" s="75"/>
      <c r="S9" s="88"/>
      <c r="T9" s="80"/>
      <c r="U9" s="76"/>
      <c r="V9" s="76"/>
      <c r="W9" s="76"/>
      <c r="X9" s="76"/>
      <c r="Y9" s="76"/>
      <c r="Z9" s="76"/>
      <c r="AA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273"/>
      <c r="AN9" s="89"/>
      <c r="AO9" s="277"/>
      <c r="AP9" s="77"/>
      <c r="AQ9" s="75"/>
      <c r="AR9" s="83"/>
      <c r="AS9" s="83"/>
      <c r="AT9" s="83"/>
      <c r="AU9" s="70"/>
      <c r="AV9" s="92"/>
      <c r="AX9" s="80"/>
    </row>
    <row r="10" spans="1:50" x14ac:dyDescent="0.25">
      <c r="A10" s="70" t="s">
        <v>102</v>
      </c>
      <c r="B10" s="85"/>
      <c r="C10" s="85"/>
      <c r="D10" s="70"/>
      <c r="E10" s="86"/>
      <c r="G10" s="275"/>
      <c r="H10" s="313"/>
      <c r="I10" s="313"/>
      <c r="J10" s="313"/>
      <c r="K10" s="317"/>
      <c r="L10" s="315"/>
      <c r="M10" s="313"/>
      <c r="N10" s="313"/>
      <c r="O10" s="313"/>
      <c r="P10" s="197"/>
      <c r="Q10" s="74"/>
      <c r="R10" s="75"/>
      <c r="S10" s="88"/>
      <c r="T10" s="80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273"/>
      <c r="AN10" s="89"/>
      <c r="AO10" s="277"/>
      <c r="AP10" s="77"/>
      <c r="AQ10" s="75"/>
      <c r="AR10" s="83"/>
      <c r="AS10" s="83"/>
      <c r="AT10" s="83"/>
      <c r="AU10" s="70"/>
      <c r="AV10" s="92"/>
      <c r="AX10" s="80"/>
    </row>
    <row r="11" spans="1:50" x14ac:dyDescent="0.25">
      <c r="A11" s="105" t="s">
        <v>103</v>
      </c>
      <c r="B11" s="105"/>
      <c r="C11" s="105"/>
      <c r="D11" s="105"/>
      <c r="E11" s="106"/>
      <c r="F11" s="107"/>
      <c r="G11" s="108"/>
      <c r="H11" s="318"/>
      <c r="I11" s="318"/>
      <c r="J11" s="318"/>
      <c r="K11" s="319"/>
      <c r="L11" s="318"/>
      <c r="M11" s="319"/>
      <c r="N11" s="319"/>
      <c r="O11" s="319"/>
      <c r="P11" s="199"/>
      <c r="Q11" s="113"/>
      <c r="R11" s="109"/>
      <c r="S11" s="114"/>
      <c r="T11" s="114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5"/>
      <c r="AO11" s="116"/>
      <c r="AP11" s="117"/>
      <c r="AQ11" s="109"/>
      <c r="AR11" s="111"/>
      <c r="AS11" s="111"/>
      <c r="AT11" s="111"/>
      <c r="AU11" s="105"/>
      <c r="AV11" s="118"/>
      <c r="AX11" s="114"/>
    </row>
    <row r="12" spans="1:50" x14ac:dyDescent="0.25">
      <c r="A12" s="105" t="s">
        <v>104</v>
      </c>
      <c r="B12" s="105"/>
      <c r="C12" s="105"/>
      <c r="D12" s="105"/>
      <c r="E12" s="106"/>
      <c r="F12" s="107"/>
      <c r="G12" s="108"/>
      <c r="H12" s="318"/>
      <c r="I12" s="318"/>
      <c r="J12" s="318"/>
      <c r="K12" s="319"/>
      <c r="L12" s="318"/>
      <c r="M12" s="319"/>
      <c r="N12" s="319"/>
      <c r="O12" s="319"/>
      <c r="P12" s="199"/>
      <c r="Q12" s="113"/>
      <c r="R12" s="109"/>
      <c r="S12" s="114"/>
      <c r="T12" s="114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5"/>
      <c r="AO12" s="116"/>
      <c r="AP12" s="117"/>
      <c r="AQ12" s="109"/>
      <c r="AR12" s="111"/>
      <c r="AS12" s="111"/>
      <c r="AT12" s="111"/>
      <c r="AU12" s="105"/>
      <c r="AV12" s="118"/>
      <c r="AX12" s="114"/>
    </row>
    <row r="13" spans="1:50" x14ac:dyDescent="0.25">
      <c r="A13" s="105" t="s">
        <v>105</v>
      </c>
      <c r="B13" s="105"/>
      <c r="C13" s="105"/>
      <c r="D13" s="105"/>
      <c r="E13" s="106"/>
      <c r="F13" s="107"/>
      <c r="G13" s="108"/>
      <c r="H13" s="318"/>
      <c r="I13" s="318"/>
      <c r="J13" s="318"/>
      <c r="K13" s="319"/>
      <c r="L13" s="318"/>
      <c r="M13" s="319"/>
      <c r="N13" s="319"/>
      <c r="O13" s="319"/>
      <c r="P13" s="199"/>
      <c r="Q13" s="113"/>
      <c r="R13" s="109"/>
      <c r="S13" s="114"/>
      <c r="T13" s="114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5"/>
      <c r="AO13" s="116"/>
      <c r="AP13" s="117"/>
      <c r="AQ13" s="109"/>
      <c r="AR13" s="111"/>
      <c r="AS13" s="111"/>
      <c r="AT13" s="111"/>
      <c r="AU13" s="105"/>
      <c r="AV13" s="118"/>
      <c r="AX13" s="114"/>
    </row>
    <row r="14" spans="1:50" x14ac:dyDescent="0.25">
      <c r="A14" s="70" t="s">
        <v>106</v>
      </c>
      <c r="B14" s="85"/>
      <c r="C14" s="85"/>
      <c r="D14" s="85"/>
      <c r="E14" s="86"/>
      <c r="G14" s="87"/>
      <c r="H14" s="313"/>
      <c r="I14" s="313"/>
      <c r="J14" s="313"/>
      <c r="K14" s="314"/>
      <c r="L14" s="315"/>
      <c r="M14" s="313"/>
      <c r="N14" s="313"/>
      <c r="O14" s="313"/>
      <c r="P14" s="197"/>
      <c r="Q14" s="74"/>
      <c r="R14" s="75"/>
      <c r="S14" s="88"/>
      <c r="T14" s="80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273"/>
      <c r="AN14" s="89"/>
      <c r="AO14"/>
      <c r="AP14" s="77"/>
      <c r="AQ14" s="75"/>
      <c r="AR14" s="83"/>
      <c r="AS14" s="83"/>
      <c r="AT14" s="83"/>
      <c r="AU14" s="70"/>
      <c r="AV14" s="92"/>
      <c r="AX14" s="80"/>
    </row>
    <row r="15" spans="1:50" x14ac:dyDescent="0.25">
      <c r="A15" s="85" t="s">
        <v>107</v>
      </c>
      <c r="B15" s="85"/>
      <c r="C15" s="85"/>
      <c r="D15" s="70"/>
      <c r="E15" s="86"/>
      <c r="G15" s="275"/>
      <c r="H15" s="313"/>
      <c r="I15" s="313"/>
      <c r="J15" s="313"/>
      <c r="K15" s="317"/>
      <c r="L15" s="315"/>
      <c r="M15" s="313"/>
      <c r="N15" s="313"/>
      <c r="O15" s="313"/>
      <c r="P15" s="197"/>
      <c r="Q15" s="74"/>
      <c r="R15" s="75"/>
      <c r="S15" s="88"/>
      <c r="T15" s="80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273"/>
      <c r="AN15" s="89"/>
      <c r="AO15" s="277"/>
      <c r="AP15" s="77"/>
      <c r="AQ15" s="75"/>
      <c r="AR15" s="83"/>
      <c r="AS15" s="83"/>
      <c r="AT15" s="83"/>
      <c r="AU15" s="70"/>
      <c r="AV15" s="92"/>
      <c r="AX15" s="80"/>
    </row>
    <row r="16" spans="1:50" x14ac:dyDescent="0.25">
      <c r="A16" s="105" t="s">
        <v>108</v>
      </c>
      <c r="B16" s="105"/>
      <c r="C16" s="105"/>
      <c r="D16" s="105"/>
      <c r="E16" s="106"/>
      <c r="F16" s="107"/>
      <c r="G16" s="108"/>
      <c r="H16" s="318"/>
      <c r="I16" s="318"/>
      <c r="J16" s="318"/>
      <c r="K16" s="319"/>
      <c r="L16" s="318"/>
      <c r="M16" s="319"/>
      <c r="N16" s="319"/>
      <c r="O16" s="319"/>
      <c r="P16" s="199"/>
      <c r="Q16" s="113"/>
      <c r="R16" s="109"/>
      <c r="S16" s="114"/>
      <c r="T16" s="114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5"/>
      <c r="AO16" s="116"/>
      <c r="AP16" s="117"/>
      <c r="AQ16" s="109"/>
      <c r="AR16" s="111"/>
      <c r="AS16" s="111"/>
      <c r="AT16" s="111"/>
      <c r="AU16" s="105"/>
      <c r="AV16" s="118"/>
      <c r="AX16" s="105"/>
    </row>
    <row r="17" spans="1:50" x14ac:dyDescent="0.25">
      <c r="A17" s="105" t="s">
        <v>109</v>
      </c>
      <c r="B17" s="105"/>
      <c r="C17" s="105"/>
      <c r="D17" s="105"/>
      <c r="E17" s="106"/>
      <c r="F17" s="107"/>
      <c r="G17" s="108"/>
      <c r="H17" s="318"/>
      <c r="I17" s="318"/>
      <c r="J17" s="318"/>
      <c r="K17" s="319"/>
      <c r="L17" s="318"/>
      <c r="M17" s="319"/>
      <c r="N17" s="319"/>
      <c r="O17" s="319"/>
      <c r="P17" s="199"/>
      <c r="Q17" s="113"/>
      <c r="R17" s="109"/>
      <c r="S17" s="114"/>
      <c r="T17" s="114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5"/>
      <c r="AO17" s="116"/>
      <c r="AP17" s="117"/>
      <c r="AQ17" s="109"/>
      <c r="AR17" s="111"/>
      <c r="AS17" s="111"/>
      <c r="AT17" s="111"/>
      <c r="AU17" s="105"/>
      <c r="AV17" s="118"/>
      <c r="AX17" s="105"/>
    </row>
    <row r="18" spans="1:50" x14ac:dyDescent="0.25">
      <c r="A18" s="105" t="s">
        <v>110</v>
      </c>
      <c r="B18" s="105"/>
      <c r="C18" s="105"/>
      <c r="D18" s="105"/>
      <c r="E18" s="106"/>
      <c r="F18" s="107"/>
      <c r="G18" s="108"/>
      <c r="H18" s="318"/>
      <c r="I18" s="318"/>
      <c r="J18" s="318"/>
      <c r="K18" s="319"/>
      <c r="L18" s="318"/>
      <c r="M18" s="319"/>
      <c r="N18" s="319"/>
      <c r="O18" s="319"/>
      <c r="P18" s="199"/>
      <c r="Q18" s="113"/>
      <c r="R18" s="109"/>
      <c r="S18" s="114"/>
      <c r="T18" s="114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5"/>
      <c r="AO18" s="116"/>
      <c r="AP18" s="117"/>
      <c r="AQ18" s="109"/>
      <c r="AR18" s="111"/>
      <c r="AS18" s="111"/>
      <c r="AT18" s="111"/>
      <c r="AU18" s="105"/>
      <c r="AV18" s="118"/>
      <c r="AX18" s="105"/>
    </row>
    <row r="19" spans="1:50" x14ac:dyDescent="0.25">
      <c r="A19" s="105" t="s">
        <v>111</v>
      </c>
      <c r="B19" s="105"/>
      <c r="C19" s="105"/>
      <c r="D19" s="105"/>
      <c r="E19" s="106"/>
      <c r="F19" s="107"/>
      <c r="G19" s="108"/>
      <c r="H19" s="318"/>
      <c r="I19" s="318"/>
      <c r="J19" s="318"/>
      <c r="K19" s="319"/>
      <c r="L19" s="318"/>
      <c r="M19" s="319"/>
      <c r="N19" s="319"/>
      <c r="O19" s="319"/>
      <c r="P19" s="199"/>
      <c r="Q19" s="113"/>
      <c r="R19" s="109"/>
      <c r="S19" s="114"/>
      <c r="T19" s="114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5"/>
      <c r="AO19" s="116"/>
      <c r="AP19" s="117"/>
      <c r="AQ19" s="109"/>
      <c r="AR19" s="111"/>
      <c r="AS19" s="111"/>
      <c r="AT19" s="111"/>
      <c r="AU19" s="105"/>
      <c r="AV19" s="118"/>
      <c r="AX19" s="114"/>
    </row>
    <row r="20" spans="1:50" x14ac:dyDescent="0.25">
      <c r="A20" s="105" t="s">
        <v>112</v>
      </c>
      <c r="B20" s="105"/>
      <c r="C20" s="105"/>
      <c r="D20" s="105"/>
      <c r="E20" s="106"/>
      <c r="F20" s="107"/>
      <c r="G20" s="108"/>
      <c r="H20" s="318"/>
      <c r="I20" s="318"/>
      <c r="J20" s="318"/>
      <c r="K20" s="319"/>
      <c r="L20" s="318"/>
      <c r="M20" s="319"/>
      <c r="N20" s="319"/>
      <c r="O20" s="319"/>
      <c r="P20" s="199"/>
      <c r="Q20" s="113"/>
      <c r="R20" s="109"/>
      <c r="S20" s="114"/>
      <c r="T20" s="114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5"/>
      <c r="AO20" s="116"/>
      <c r="AP20" s="117"/>
      <c r="AQ20" s="109"/>
      <c r="AR20" s="111"/>
      <c r="AS20" s="111"/>
      <c r="AT20" s="111"/>
      <c r="AU20" s="105"/>
      <c r="AV20" s="118"/>
      <c r="AX20" s="114"/>
    </row>
    <row r="21" spans="1:50" x14ac:dyDescent="0.25">
      <c r="A21" s="105" t="s">
        <v>113</v>
      </c>
      <c r="B21" s="105"/>
      <c r="C21" s="105"/>
      <c r="D21" s="105"/>
      <c r="E21" s="106"/>
      <c r="F21" s="107"/>
      <c r="G21" s="108"/>
      <c r="H21" s="318"/>
      <c r="I21" s="318"/>
      <c r="J21" s="318"/>
      <c r="K21" s="319"/>
      <c r="L21" s="318"/>
      <c r="M21" s="319"/>
      <c r="N21" s="319"/>
      <c r="O21" s="319"/>
      <c r="P21" s="199"/>
      <c r="Q21" s="113"/>
      <c r="R21" s="109"/>
      <c r="S21" s="114"/>
      <c r="T21" s="114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5"/>
      <c r="AO21" s="116"/>
      <c r="AP21" s="117"/>
      <c r="AQ21" s="109"/>
      <c r="AR21" s="111"/>
      <c r="AS21" s="111"/>
      <c r="AT21" s="111"/>
      <c r="AU21" s="105"/>
      <c r="AV21" s="118"/>
      <c r="AX21" s="114"/>
    </row>
    <row r="22" spans="1:50" x14ac:dyDescent="0.25">
      <c r="A22" s="105" t="s">
        <v>114</v>
      </c>
      <c r="B22" s="105"/>
      <c r="C22" s="105"/>
      <c r="D22" s="105"/>
      <c r="E22" s="106"/>
      <c r="F22" s="107"/>
      <c r="G22" s="108"/>
      <c r="H22" s="318"/>
      <c r="I22" s="318"/>
      <c r="J22" s="318"/>
      <c r="K22" s="319"/>
      <c r="L22" s="318"/>
      <c r="M22" s="319"/>
      <c r="N22" s="319"/>
      <c r="O22" s="319"/>
      <c r="P22" s="199"/>
      <c r="Q22" s="113"/>
      <c r="R22" s="109"/>
      <c r="S22" s="114"/>
      <c r="T22" s="114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5"/>
      <c r="AO22" s="116"/>
      <c r="AP22" s="117"/>
      <c r="AQ22" s="109"/>
      <c r="AR22" s="111"/>
      <c r="AS22" s="111"/>
      <c r="AT22" s="111"/>
      <c r="AU22" s="105"/>
      <c r="AV22" s="118"/>
      <c r="AX22" s="114"/>
    </row>
    <row r="23" spans="1:50" x14ac:dyDescent="0.25">
      <c r="A23" s="105" t="s">
        <v>115</v>
      </c>
      <c r="B23" s="105"/>
      <c r="C23" s="105"/>
      <c r="D23" s="105"/>
      <c r="E23" s="106"/>
      <c r="F23" s="107"/>
      <c r="G23" s="108"/>
      <c r="H23" s="318"/>
      <c r="I23" s="318"/>
      <c r="J23" s="318"/>
      <c r="K23" s="319"/>
      <c r="L23" s="318"/>
      <c r="M23" s="319"/>
      <c r="N23" s="319"/>
      <c r="O23" s="319"/>
      <c r="P23" s="199"/>
      <c r="Q23" s="113"/>
      <c r="R23" s="109"/>
      <c r="S23" s="114"/>
      <c r="T23" s="114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5"/>
      <c r="AO23" s="116"/>
      <c r="AP23" s="117"/>
      <c r="AQ23" s="109"/>
      <c r="AR23" s="111"/>
      <c r="AS23" s="111"/>
      <c r="AT23" s="111"/>
      <c r="AU23" s="105"/>
      <c r="AV23" s="118"/>
      <c r="AX23" s="114"/>
    </row>
    <row r="24" spans="1:50" x14ac:dyDescent="0.25">
      <c r="A24" s="70" t="s">
        <v>116</v>
      </c>
      <c r="B24" s="85"/>
      <c r="C24" s="85"/>
      <c r="D24" s="70"/>
      <c r="E24" s="86"/>
      <c r="G24" s="275"/>
      <c r="H24" s="313"/>
      <c r="I24" s="313"/>
      <c r="J24" s="313"/>
      <c r="K24" s="316"/>
      <c r="L24" s="315"/>
      <c r="M24" s="313"/>
      <c r="N24" s="313"/>
      <c r="O24" s="313"/>
      <c r="P24" s="197"/>
      <c r="Q24" s="74"/>
      <c r="R24" s="75"/>
      <c r="S24" s="88"/>
      <c r="T24" s="80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273"/>
      <c r="AN24" s="89"/>
      <c r="AO24" s="277"/>
      <c r="AP24" s="77"/>
      <c r="AQ24" s="75"/>
      <c r="AR24" s="83"/>
      <c r="AS24" s="83"/>
      <c r="AT24" s="83"/>
      <c r="AU24" s="70"/>
      <c r="AV24" s="92"/>
      <c r="AX24" s="80"/>
    </row>
    <row r="25" spans="1:50" x14ac:dyDescent="0.25">
      <c r="A25" s="105" t="s">
        <v>117</v>
      </c>
      <c r="B25" s="105"/>
      <c r="C25" s="105"/>
      <c r="D25" s="105"/>
      <c r="E25" s="106"/>
      <c r="F25" s="107"/>
      <c r="G25" s="108"/>
      <c r="H25" s="318"/>
      <c r="I25" s="318"/>
      <c r="J25" s="318"/>
      <c r="K25" s="319"/>
      <c r="L25" s="318"/>
      <c r="M25" s="319"/>
      <c r="N25" s="319"/>
      <c r="O25" s="319"/>
      <c r="P25" s="199"/>
      <c r="Q25" s="113"/>
      <c r="R25" s="109"/>
      <c r="S25" s="114"/>
      <c r="T25" s="114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5"/>
      <c r="AO25" s="116"/>
      <c r="AP25" s="117"/>
      <c r="AQ25" s="109"/>
      <c r="AR25" s="111"/>
      <c r="AS25" s="111"/>
      <c r="AT25" s="111"/>
      <c r="AU25" s="105"/>
      <c r="AV25" s="118"/>
      <c r="AX25" s="114"/>
    </row>
    <row r="26" spans="1:50" x14ac:dyDescent="0.25">
      <c r="A26" s="70" t="s">
        <v>118</v>
      </c>
      <c r="B26" s="85"/>
      <c r="C26" s="85"/>
      <c r="D26" s="70"/>
      <c r="E26" s="86"/>
      <c r="G26" s="275"/>
      <c r="H26" s="313"/>
      <c r="I26" s="313"/>
      <c r="J26" s="313"/>
      <c r="K26" s="316"/>
      <c r="L26" s="315"/>
      <c r="M26" s="313"/>
      <c r="N26" s="313"/>
      <c r="O26" s="313"/>
      <c r="P26" s="197"/>
      <c r="Q26" s="74"/>
      <c r="R26" s="75"/>
      <c r="S26" s="88"/>
      <c r="T26" s="80"/>
      <c r="AH26" s="76"/>
      <c r="AI26" s="76"/>
      <c r="AK26" s="76"/>
      <c r="AL26" s="76"/>
      <c r="AM26" s="273"/>
      <c r="AN26" s="89"/>
      <c r="AO26" s="278"/>
      <c r="AP26" s="77"/>
      <c r="AQ26" s="75"/>
      <c r="AR26" s="83"/>
      <c r="AS26" s="83"/>
      <c r="AT26" s="83"/>
      <c r="AU26" s="70"/>
      <c r="AV26" s="92"/>
      <c r="AX26" s="80"/>
    </row>
    <row r="27" spans="1:50" x14ac:dyDescent="0.25">
      <c r="A27" s="70" t="s">
        <v>119</v>
      </c>
      <c r="B27" s="85"/>
      <c r="C27" s="85"/>
      <c r="D27" s="70"/>
      <c r="E27" s="86"/>
      <c r="G27" s="275"/>
      <c r="H27" s="313"/>
      <c r="I27" s="313"/>
      <c r="J27" s="313"/>
      <c r="K27" s="316"/>
      <c r="L27" s="315"/>
      <c r="M27" s="313"/>
      <c r="N27" s="313"/>
      <c r="O27" s="313"/>
      <c r="P27" s="197"/>
      <c r="Q27" s="74"/>
      <c r="R27" s="75"/>
      <c r="S27" s="88"/>
      <c r="T27" s="80"/>
      <c r="U27" s="76"/>
      <c r="V27" s="76"/>
      <c r="W27" s="76"/>
      <c r="X27" s="76"/>
      <c r="Y27" s="76"/>
      <c r="Z27" s="76"/>
      <c r="AA27" s="76"/>
      <c r="AB27" s="76"/>
      <c r="AC27" s="76"/>
      <c r="AE27" s="76"/>
      <c r="AF27" s="76"/>
      <c r="AI27" s="76"/>
      <c r="AJ27" s="76"/>
      <c r="AK27" s="76"/>
      <c r="AL27" s="76"/>
      <c r="AM27" s="273"/>
      <c r="AN27" s="89"/>
      <c r="AO27" s="277"/>
      <c r="AP27" s="77"/>
      <c r="AQ27" s="75"/>
      <c r="AR27" s="83"/>
      <c r="AS27" s="83"/>
      <c r="AT27" s="83"/>
      <c r="AU27" s="70"/>
      <c r="AV27" s="92"/>
      <c r="AX27" s="80"/>
    </row>
    <row r="28" spans="1:50" x14ac:dyDescent="0.25">
      <c r="A28" s="105" t="s">
        <v>120</v>
      </c>
      <c r="B28" s="105"/>
      <c r="C28" s="105"/>
      <c r="D28" s="105"/>
      <c r="E28" s="106"/>
      <c r="F28" s="107"/>
      <c r="G28" s="108"/>
      <c r="H28" s="318"/>
      <c r="I28" s="318"/>
      <c r="J28" s="318"/>
      <c r="K28" s="319"/>
      <c r="L28" s="318"/>
      <c r="M28" s="319"/>
      <c r="N28" s="319"/>
      <c r="O28" s="319"/>
      <c r="P28" s="199"/>
      <c r="Q28" s="113"/>
      <c r="R28" s="109"/>
      <c r="S28" s="114"/>
      <c r="T28" s="114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5"/>
      <c r="AO28" s="116"/>
      <c r="AP28" s="117"/>
      <c r="AQ28" s="109"/>
      <c r="AR28" s="111"/>
      <c r="AS28" s="111"/>
      <c r="AT28" s="111"/>
      <c r="AU28" s="105"/>
      <c r="AV28" s="118"/>
      <c r="AX28" s="114"/>
    </row>
    <row r="29" spans="1:50" x14ac:dyDescent="0.25">
      <c r="A29" s="70" t="s">
        <v>121</v>
      </c>
      <c r="B29" s="85"/>
      <c r="C29" s="85"/>
      <c r="D29" s="70"/>
      <c r="E29" s="86"/>
      <c r="G29" s="275"/>
      <c r="H29" s="313"/>
      <c r="I29" s="313"/>
      <c r="J29" s="313"/>
      <c r="K29" s="317"/>
      <c r="L29" s="315"/>
      <c r="M29" s="313"/>
      <c r="N29" s="313"/>
      <c r="O29" s="313"/>
      <c r="P29" s="197"/>
      <c r="Q29" s="74"/>
      <c r="R29" s="75"/>
      <c r="S29" s="88"/>
      <c r="T29" s="80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273"/>
      <c r="AN29" s="89"/>
      <c r="AO29" s="277"/>
      <c r="AP29" s="77"/>
      <c r="AQ29" s="75"/>
      <c r="AR29" s="83"/>
      <c r="AS29" s="83"/>
      <c r="AT29" s="83"/>
      <c r="AU29" s="70"/>
      <c r="AV29" s="92"/>
      <c r="AX29" s="80"/>
    </row>
    <row r="30" spans="1:50" x14ac:dyDescent="0.25">
      <c r="A30" s="70" t="s">
        <v>122</v>
      </c>
      <c r="B30" s="85"/>
      <c r="C30" s="85"/>
      <c r="D30" s="70"/>
      <c r="E30" s="86"/>
      <c r="G30" s="275"/>
      <c r="H30" s="313"/>
      <c r="I30" s="313"/>
      <c r="J30" s="313"/>
      <c r="K30" s="317"/>
      <c r="L30" s="315"/>
      <c r="M30" s="313"/>
      <c r="N30" s="313"/>
      <c r="O30" s="313"/>
      <c r="P30" s="197"/>
      <c r="Q30" s="74"/>
      <c r="R30" s="75"/>
      <c r="S30" s="88"/>
      <c r="T30" s="80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273"/>
      <c r="AN30" s="89"/>
      <c r="AO30" s="277"/>
      <c r="AP30" s="77"/>
      <c r="AQ30" s="75"/>
      <c r="AR30" s="83"/>
      <c r="AS30" s="83"/>
      <c r="AT30" s="83"/>
      <c r="AU30" s="70"/>
      <c r="AV30" s="92"/>
      <c r="AX30" s="80"/>
    </row>
    <row r="31" spans="1:50" x14ac:dyDescent="0.25">
      <c r="A31" s="70" t="s">
        <v>123</v>
      </c>
      <c r="B31" s="85"/>
      <c r="C31" s="85"/>
      <c r="D31" s="70"/>
      <c r="E31" s="86"/>
      <c r="G31" s="275"/>
      <c r="H31" s="313"/>
      <c r="I31" s="313"/>
      <c r="J31" s="313"/>
      <c r="K31" s="317"/>
      <c r="L31" s="315"/>
      <c r="M31" s="313"/>
      <c r="N31" s="313"/>
      <c r="O31" s="313"/>
      <c r="P31" s="197"/>
      <c r="Q31" s="74"/>
      <c r="R31" s="75"/>
      <c r="S31" s="88"/>
      <c r="T31" s="80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273"/>
      <c r="AN31" s="89"/>
      <c r="AO31" s="277"/>
      <c r="AP31" s="77"/>
      <c r="AQ31" s="75"/>
      <c r="AR31" s="83"/>
      <c r="AS31" s="83"/>
      <c r="AT31" s="83"/>
      <c r="AU31" s="70"/>
      <c r="AV31" s="92"/>
      <c r="AX31" s="80"/>
    </row>
    <row r="32" spans="1:50" x14ac:dyDescent="0.25">
      <c r="A32" s="105" t="s">
        <v>124</v>
      </c>
      <c r="B32" s="105"/>
      <c r="C32" s="105"/>
      <c r="D32" s="105"/>
      <c r="E32" s="106"/>
      <c r="F32" s="107"/>
      <c r="G32" s="108"/>
      <c r="H32" s="320"/>
      <c r="I32" s="320"/>
      <c r="J32" s="320"/>
      <c r="K32" s="319"/>
      <c r="L32" s="318"/>
      <c r="M32" s="319"/>
      <c r="N32" s="319"/>
      <c r="O32" s="319"/>
      <c r="P32" s="199"/>
      <c r="Q32" s="113"/>
      <c r="R32" s="109"/>
      <c r="S32" s="114"/>
      <c r="T32" s="114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5"/>
      <c r="AO32" s="116"/>
      <c r="AP32" s="117"/>
      <c r="AQ32" s="109"/>
      <c r="AR32" s="111"/>
      <c r="AS32" s="111"/>
      <c r="AT32" s="111"/>
      <c r="AU32" s="105"/>
      <c r="AV32" s="118"/>
      <c r="AX32" s="114"/>
    </row>
    <row r="33" spans="1:50" x14ac:dyDescent="0.25">
      <c r="A33" s="105" t="s">
        <v>125</v>
      </c>
      <c r="B33" s="105"/>
      <c r="C33" s="105"/>
      <c r="D33" s="105"/>
      <c r="E33" s="106"/>
      <c r="F33" s="107"/>
      <c r="G33" s="108"/>
      <c r="H33" s="320"/>
      <c r="I33" s="320"/>
      <c r="J33" s="320"/>
      <c r="K33" s="319"/>
      <c r="L33" s="318"/>
      <c r="M33" s="319"/>
      <c r="N33" s="319"/>
      <c r="O33" s="319"/>
      <c r="P33" s="199"/>
      <c r="Q33" s="113"/>
      <c r="R33" s="109"/>
      <c r="S33" s="114"/>
      <c r="T33" s="114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5"/>
      <c r="AO33" s="116"/>
      <c r="AP33" s="117"/>
      <c r="AQ33" s="109"/>
      <c r="AR33" s="111"/>
      <c r="AS33" s="111"/>
      <c r="AT33" s="111"/>
      <c r="AU33" s="105"/>
      <c r="AV33" s="118"/>
      <c r="AX33" s="114"/>
    </row>
    <row r="34" spans="1:50" x14ac:dyDescent="0.25">
      <c r="A34" s="70" t="s">
        <v>126</v>
      </c>
      <c r="B34" s="85"/>
      <c r="C34" s="85"/>
      <c r="D34" s="70"/>
      <c r="E34" s="86"/>
      <c r="G34" s="275"/>
      <c r="H34" s="313"/>
      <c r="I34" s="313"/>
      <c r="J34" s="313"/>
      <c r="K34" s="316"/>
      <c r="L34" s="315"/>
      <c r="M34" s="313"/>
      <c r="N34" s="313"/>
      <c r="O34" s="313"/>
      <c r="P34" s="197"/>
      <c r="Q34" s="74"/>
      <c r="R34" s="75"/>
      <c r="S34" s="88"/>
      <c r="T34" s="80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273"/>
      <c r="AN34" s="89"/>
      <c r="AO34" s="277"/>
      <c r="AP34" s="77"/>
      <c r="AQ34" s="75"/>
      <c r="AR34" s="83"/>
      <c r="AS34" s="83"/>
      <c r="AT34" s="83"/>
      <c r="AU34" s="70"/>
      <c r="AV34" s="92"/>
      <c r="AX34" s="80"/>
    </row>
    <row r="35" spans="1:50" x14ac:dyDescent="0.25">
      <c r="A35" s="105" t="s">
        <v>127</v>
      </c>
      <c r="B35" s="105"/>
      <c r="C35" s="105"/>
      <c r="D35" s="105"/>
      <c r="E35" s="105"/>
      <c r="F35" s="105"/>
      <c r="G35" s="105"/>
      <c r="H35" s="319"/>
      <c r="I35" s="319"/>
      <c r="J35" s="319"/>
      <c r="K35" s="319"/>
      <c r="L35" s="319"/>
      <c r="M35" s="319"/>
      <c r="N35" s="319"/>
      <c r="O35" s="319"/>
      <c r="P35" s="246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233"/>
      <c r="AW35" s="276"/>
      <c r="AX35" s="105"/>
    </row>
    <row r="36" spans="1:50" x14ac:dyDescent="0.25">
      <c r="A36" s="105" t="s">
        <v>128</v>
      </c>
      <c r="B36" s="105"/>
      <c r="C36" s="105"/>
      <c r="D36" s="105"/>
      <c r="E36" s="106"/>
      <c r="F36" s="107"/>
      <c r="G36" s="108"/>
      <c r="H36" s="318"/>
      <c r="I36" s="318"/>
      <c r="J36" s="318"/>
      <c r="K36" s="319"/>
      <c r="L36" s="318"/>
      <c r="M36" s="319"/>
      <c r="N36" s="319"/>
      <c r="O36" s="319"/>
      <c r="P36" s="199"/>
      <c r="Q36" s="113"/>
      <c r="R36" s="109"/>
      <c r="S36" s="114"/>
      <c r="T36" s="114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5"/>
      <c r="AO36" s="116"/>
      <c r="AP36" s="117"/>
      <c r="AQ36" s="109"/>
      <c r="AR36" s="111"/>
      <c r="AS36" s="111"/>
      <c r="AT36" s="111"/>
      <c r="AU36" s="105"/>
      <c r="AV36" s="118"/>
      <c r="AX36" s="114"/>
    </row>
    <row r="37" spans="1:50" x14ac:dyDescent="0.25">
      <c r="A37" s="105" t="s">
        <v>129</v>
      </c>
      <c r="B37" s="105"/>
      <c r="C37" s="105"/>
      <c r="D37" s="105"/>
      <c r="E37" s="106"/>
      <c r="F37" s="107"/>
      <c r="G37" s="108"/>
      <c r="H37" s="318"/>
      <c r="I37" s="318"/>
      <c r="J37" s="318"/>
      <c r="K37" s="319"/>
      <c r="L37" s="318"/>
      <c r="M37" s="319"/>
      <c r="N37" s="319"/>
      <c r="O37" s="319"/>
      <c r="P37" s="199"/>
      <c r="Q37" s="113"/>
      <c r="R37" s="109"/>
      <c r="S37" s="114"/>
      <c r="T37" s="114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5"/>
      <c r="AO37" s="116"/>
      <c r="AP37" s="117"/>
      <c r="AQ37" s="109"/>
      <c r="AR37" s="111"/>
      <c r="AS37" s="111"/>
      <c r="AT37" s="111"/>
      <c r="AU37" s="105"/>
      <c r="AV37" s="118"/>
      <c r="AX37" s="114"/>
    </row>
    <row r="38" spans="1:50" x14ac:dyDescent="0.25">
      <c r="A38" s="105" t="s">
        <v>130</v>
      </c>
      <c r="B38" s="105"/>
      <c r="C38" s="105"/>
      <c r="D38" s="105"/>
      <c r="E38" s="106"/>
      <c r="F38" s="107"/>
      <c r="G38" s="108"/>
      <c r="H38" s="318"/>
      <c r="I38" s="318"/>
      <c r="J38" s="318"/>
      <c r="K38" s="319"/>
      <c r="L38" s="318"/>
      <c r="M38" s="319"/>
      <c r="N38" s="319"/>
      <c r="O38" s="319"/>
      <c r="P38" s="199"/>
      <c r="Q38" s="113"/>
      <c r="R38" s="109"/>
      <c r="S38" s="114"/>
      <c r="T38" s="114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5"/>
      <c r="AO38" s="116"/>
      <c r="AP38" s="117"/>
      <c r="AQ38" s="109"/>
      <c r="AR38" s="111"/>
      <c r="AS38" s="111"/>
      <c r="AT38" s="111"/>
      <c r="AU38" s="105"/>
      <c r="AV38" s="118"/>
      <c r="AX38" s="114"/>
    </row>
    <row r="39" spans="1:50" x14ac:dyDescent="0.25">
      <c r="A39" s="105" t="s">
        <v>131</v>
      </c>
      <c r="B39" s="105"/>
      <c r="C39" s="105"/>
      <c r="D39" s="105"/>
      <c r="E39" s="106"/>
      <c r="F39" s="107"/>
      <c r="G39" s="108"/>
      <c r="H39" s="318"/>
      <c r="I39" s="318"/>
      <c r="J39" s="318"/>
      <c r="K39" s="319"/>
      <c r="L39" s="318"/>
      <c r="M39" s="319"/>
      <c r="N39" s="319"/>
      <c r="O39" s="319"/>
      <c r="P39" s="199"/>
      <c r="Q39" s="113"/>
      <c r="R39" s="109"/>
      <c r="S39" s="114"/>
      <c r="T39" s="114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5"/>
      <c r="AO39" s="116"/>
      <c r="AP39" s="117"/>
      <c r="AQ39" s="109"/>
      <c r="AR39" s="111"/>
      <c r="AS39" s="111"/>
      <c r="AT39" s="111"/>
      <c r="AU39" s="105"/>
      <c r="AV39" s="118"/>
      <c r="AX39" s="114"/>
    </row>
    <row r="40" spans="1:50" x14ac:dyDescent="0.25">
      <c r="A40" s="70" t="s">
        <v>132</v>
      </c>
      <c r="B40" s="85"/>
      <c r="C40" s="85"/>
      <c r="D40" s="70"/>
      <c r="E40" s="86"/>
      <c r="G40" s="87"/>
      <c r="H40" s="313"/>
      <c r="I40" s="313"/>
      <c r="J40" s="313"/>
      <c r="K40" s="314"/>
      <c r="L40" s="315"/>
      <c r="M40" s="313"/>
      <c r="N40" s="313"/>
      <c r="O40" s="313"/>
      <c r="P40" s="309"/>
      <c r="Q40" s="74"/>
      <c r="R40" s="75"/>
      <c r="S40" s="88"/>
      <c r="T40" s="80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H40" s="76"/>
      <c r="AI40" s="76"/>
      <c r="AJ40" s="76"/>
      <c r="AK40" s="76"/>
      <c r="AL40" s="76"/>
      <c r="AM40" s="76"/>
      <c r="AN40" s="89"/>
      <c r="AO40" s="90"/>
      <c r="AP40" s="77"/>
      <c r="AQ40" s="75"/>
      <c r="AR40" s="83"/>
      <c r="AS40" s="83"/>
      <c r="AT40" s="83"/>
      <c r="AU40" s="70"/>
      <c r="AV40" s="92"/>
      <c r="AX40" s="80"/>
    </row>
    <row r="41" spans="1:50" x14ac:dyDescent="0.25">
      <c r="A41" s="105" t="s">
        <v>133</v>
      </c>
      <c r="B41" s="105"/>
      <c r="C41" s="105"/>
      <c r="D41" s="105"/>
      <c r="E41" s="106"/>
      <c r="F41" s="107"/>
      <c r="G41" s="108"/>
      <c r="H41" s="318"/>
      <c r="I41" s="318"/>
      <c r="J41" s="318"/>
      <c r="K41" s="319"/>
      <c r="L41" s="318"/>
      <c r="M41" s="319"/>
      <c r="N41" s="319"/>
      <c r="O41" s="319"/>
      <c r="P41" s="199"/>
      <c r="Q41" s="113"/>
      <c r="R41" s="109"/>
      <c r="S41" s="114"/>
      <c r="T41" s="114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5"/>
      <c r="AO41" s="116"/>
      <c r="AP41" s="117"/>
      <c r="AQ41" s="109"/>
      <c r="AR41" s="111"/>
      <c r="AS41" s="111"/>
      <c r="AT41" s="111"/>
      <c r="AU41" s="105"/>
      <c r="AV41" s="118"/>
      <c r="AX41" s="114"/>
    </row>
    <row r="42" spans="1:50" x14ac:dyDescent="0.25">
      <c r="A42" s="105" t="s">
        <v>134</v>
      </c>
      <c r="B42" s="105"/>
      <c r="C42" s="105"/>
      <c r="D42" s="105"/>
      <c r="E42" s="106"/>
      <c r="F42" s="107"/>
      <c r="G42" s="108"/>
      <c r="H42" s="318"/>
      <c r="I42" s="318"/>
      <c r="J42" s="318"/>
      <c r="K42" s="319"/>
      <c r="L42" s="318"/>
      <c r="M42" s="319"/>
      <c r="N42" s="319"/>
      <c r="O42" s="319"/>
      <c r="P42" s="199"/>
      <c r="Q42" s="113"/>
      <c r="R42" s="109"/>
      <c r="S42" s="114"/>
      <c r="T42" s="114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5"/>
      <c r="AO42" s="116"/>
      <c r="AP42" s="117"/>
      <c r="AQ42" s="109"/>
      <c r="AR42" s="111"/>
      <c r="AS42" s="111"/>
      <c r="AT42" s="111"/>
      <c r="AU42" s="105"/>
      <c r="AV42" s="118"/>
      <c r="AX42" s="114"/>
    </row>
    <row r="43" spans="1:50" x14ac:dyDescent="0.25">
      <c r="A43" s="105" t="s">
        <v>135</v>
      </c>
      <c r="B43" s="105"/>
      <c r="C43" s="105"/>
      <c r="D43" s="105"/>
      <c r="E43" s="106"/>
      <c r="F43" s="107"/>
      <c r="G43" s="108"/>
      <c r="H43" s="318"/>
      <c r="I43" s="318"/>
      <c r="J43" s="318"/>
      <c r="K43" s="319"/>
      <c r="L43" s="318"/>
      <c r="M43" s="319"/>
      <c r="N43" s="319"/>
      <c r="O43" s="319"/>
      <c r="P43" s="199"/>
      <c r="Q43" s="113"/>
      <c r="R43" s="109"/>
      <c r="S43" s="114"/>
      <c r="T43" s="114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5"/>
      <c r="AO43" s="116"/>
      <c r="AP43" s="117"/>
      <c r="AQ43" s="109"/>
      <c r="AR43" s="111"/>
      <c r="AS43" s="111"/>
      <c r="AT43" s="111"/>
      <c r="AU43" s="105"/>
      <c r="AV43" s="118"/>
      <c r="AX43" s="114"/>
    </row>
    <row r="44" spans="1:50" x14ac:dyDescent="0.25">
      <c r="A44" s="105" t="s">
        <v>136</v>
      </c>
      <c r="B44" s="105"/>
      <c r="C44" s="105"/>
      <c r="D44" s="105"/>
      <c r="E44" s="106"/>
      <c r="F44" s="107"/>
      <c r="G44" s="108"/>
      <c r="H44" s="318"/>
      <c r="I44" s="318"/>
      <c r="J44" s="318"/>
      <c r="K44" s="319"/>
      <c r="L44" s="318"/>
      <c r="M44" s="319"/>
      <c r="N44" s="319"/>
      <c r="O44" s="319"/>
      <c r="P44" s="199"/>
      <c r="Q44" s="113"/>
      <c r="R44" s="109"/>
      <c r="S44" s="114"/>
      <c r="T44" s="114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5"/>
      <c r="AO44" s="116"/>
      <c r="AP44" s="117"/>
      <c r="AQ44" s="109"/>
      <c r="AR44" s="111"/>
      <c r="AS44" s="111"/>
      <c r="AT44" s="111"/>
      <c r="AU44" s="105"/>
      <c r="AV44" s="118"/>
      <c r="AX44" s="114"/>
    </row>
    <row r="45" spans="1:50" x14ac:dyDescent="0.25">
      <c r="A45" s="105" t="s">
        <v>137</v>
      </c>
      <c r="B45" s="105"/>
      <c r="C45" s="105"/>
      <c r="D45" s="105"/>
      <c r="E45" s="106"/>
      <c r="F45" s="107"/>
      <c r="G45" s="108"/>
      <c r="H45" s="318"/>
      <c r="I45" s="318"/>
      <c r="J45" s="318"/>
      <c r="K45" s="319"/>
      <c r="L45" s="318"/>
      <c r="M45" s="319"/>
      <c r="N45" s="319"/>
      <c r="O45" s="319"/>
      <c r="P45" s="199"/>
      <c r="Q45" s="113"/>
      <c r="R45" s="109"/>
      <c r="S45" s="114"/>
      <c r="T45" s="114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20"/>
      <c r="AO45" s="116"/>
      <c r="AP45" s="117"/>
      <c r="AQ45" s="109"/>
      <c r="AR45" s="111"/>
      <c r="AS45" s="111"/>
      <c r="AT45" s="111"/>
      <c r="AU45" s="105"/>
      <c r="AV45" s="118"/>
      <c r="AX45" s="114"/>
    </row>
    <row r="46" spans="1:50" x14ac:dyDescent="0.25">
      <c r="A46" s="105" t="s">
        <v>138</v>
      </c>
      <c r="B46" s="105"/>
      <c r="C46" s="105"/>
      <c r="D46" s="105"/>
      <c r="E46" s="106"/>
      <c r="F46" s="107"/>
      <c r="G46" s="108"/>
      <c r="H46" s="318"/>
      <c r="I46" s="318"/>
      <c r="J46" s="318"/>
      <c r="K46" s="319"/>
      <c r="L46" s="318"/>
      <c r="M46" s="319"/>
      <c r="N46" s="319"/>
      <c r="O46" s="319"/>
      <c r="P46" s="199"/>
      <c r="Q46" s="113"/>
      <c r="R46" s="109"/>
      <c r="S46" s="114"/>
      <c r="T46" s="114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20"/>
      <c r="AO46" s="116"/>
      <c r="AP46" s="117"/>
      <c r="AQ46" s="109"/>
      <c r="AR46" s="111"/>
      <c r="AS46" s="111"/>
      <c r="AT46" s="111"/>
      <c r="AU46" s="105"/>
      <c r="AV46" s="118"/>
      <c r="AX46" s="114"/>
    </row>
    <row r="47" spans="1:50" x14ac:dyDescent="0.25">
      <c r="A47" s="105" t="s">
        <v>139</v>
      </c>
      <c r="B47" s="105"/>
      <c r="C47" s="105"/>
      <c r="D47" s="105"/>
      <c r="E47" s="106"/>
      <c r="F47" s="107"/>
      <c r="G47" s="108"/>
      <c r="H47" s="318"/>
      <c r="I47" s="318"/>
      <c r="J47" s="318"/>
      <c r="K47" s="319"/>
      <c r="L47" s="318"/>
      <c r="M47" s="319"/>
      <c r="N47" s="319"/>
      <c r="O47" s="319"/>
      <c r="P47" s="199"/>
      <c r="Q47" s="113"/>
      <c r="R47" s="109"/>
      <c r="S47" s="114"/>
      <c r="T47" s="114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20"/>
      <c r="AO47" s="116"/>
      <c r="AP47" s="117"/>
      <c r="AQ47" s="109"/>
      <c r="AR47" s="111"/>
      <c r="AS47" s="111"/>
      <c r="AT47" s="111"/>
      <c r="AU47" s="105"/>
      <c r="AV47" s="118"/>
      <c r="AX47" s="114"/>
    </row>
    <row r="48" spans="1:50" x14ac:dyDescent="0.25">
      <c r="A48" s="105" t="s">
        <v>140</v>
      </c>
      <c r="B48" s="105"/>
      <c r="C48" s="105"/>
      <c r="D48" s="105"/>
      <c r="E48" s="106"/>
      <c r="F48" s="107"/>
      <c r="G48" s="108"/>
      <c r="H48" s="318"/>
      <c r="I48" s="318"/>
      <c r="J48" s="318"/>
      <c r="K48" s="319"/>
      <c r="L48" s="318"/>
      <c r="M48" s="319"/>
      <c r="N48" s="319"/>
      <c r="O48" s="319"/>
      <c r="P48" s="199"/>
      <c r="Q48" s="113"/>
      <c r="R48" s="109"/>
      <c r="S48" s="114"/>
      <c r="T48" s="114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20"/>
      <c r="AO48" s="116"/>
      <c r="AP48" s="117"/>
      <c r="AQ48" s="109"/>
      <c r="AR48" s="111"/>
      <c r="AS48" s="111"/>
      <c r="AT48" s="111"/>
      <c r="AU48" s="105"/>
      <c r="AV48" s="118"/>
      <c r="AX48" s="114"/>
    </row>
    <row r="49" spans="1:50" x14ac:dyDescent="0.25">
      <c r="A49" s="105" t="s">
        <v>141</v>
      </c>
      <c r="B49" s="105"/>
      <c r="C49" s="105"/>
      <c r="D49" s="105"/>
      <c r="E49" s="106"/>
      <c r="F49" s="107"/>
      <c r="G49" s="108"/>
      <c r="H49" s="318"/>
      <c r="I49" s="318"/>
      <c r="J49" s="318"/>
      <c r="K49" s="319"/>
      <c r="L49" s="318"/>
      <c r="M49" s="319"/>
      <c r="N49" s="319"/>
      <c r="O49" s="319"/>
      <c r="P49" s="199"/>
      <c r="Q49" s="113"/>
      <c r="R49" s="109"/>
      <c r="S49" s="114"/>
      <c r="T49" s="114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20"/>
      <c r="AO49" s="116"/>
      <c r="AP49" s="117"/>
      <c r="AQ49" s="109"/>
      <c r="AR49" s="111"/>
      <c r="AS49" s="111"/>
      <c r="AT49" s="111"/>
      <c r="AU49" s="105"/>
      <c r="AV49" s="118"/>
      <c r="AX49" s="114"/>
    </row>
    <row r="50" spans="1:50" x14ac:dyDescent="0.25">
      <c r="A50" s="105" t="s">
        <v>142</v>
      </c>
      <c r="B50" s="105"/>
      <c r="C50" s="105"/>
      <c r="D50" s="105"/>
      <c r="E50" s="106"/>
      <c r="F50" s="107"/>
      <c r="G50" s="108"/>
      <c r="H50" s="318"/>
      <c r="I50" s="318"/>
      <c r="J50" s="318"/>
      <c r="K50" s="319"/>
      <c r="L50" s="318"/>
      <c r="M50" s="319"/>
      <c r="N50" s="319"/>
      <c r="O50" s="319"/>
      <c r="P50" s="199"/>
      <c r="Q50" s="113"/>
      <c r="R50" s="109"/>
      <c r="S50" s="114"/>
      <c r="T50" s="114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20"/>
      <c r="AO50" s="116"/>
      <c r="AP50" s="117"/>
      <c r="AQ50" s="109"/>
      <c r="AR50" s="111"/>
      <c r="AS50" s="111"/>
      <c r="AT50" s="111"/>
      <c r="AU50" s="105"/>
      <c r="AV50" s="118"/>
      <c r="AX50" s="114"/>
    </row>
    <row r="51" spans="1:50" x14ac:dyDescent="0.25">
      <c r="A51" s="105" t="s">
        <v>143</v>
      </c>
      <c r="B51" s="105"/>
      <c r="C51" s="105"/>
      <c r="D51" s="105"/>
      <c r="E51" s="106"/>
      <c r="F51" s="107"/>
      <c r="G51" s="108"/>
      <c r="H51" s="318"/>
      <c r="I51" s="318"/>
      <c r="J51" s="318"/>
      <c r="K51" s="319"/>
      <c r="L51" s="318"/>
      <c r="M51" s="319"/>
      <c r="N51" s="319"/>
      <c r="O51" s="319"/>
      <c r="P51" s="199"/>
      <c r="Q51" s="113"/>
      <c r="R51" s="109"/>
      <c r="S51" s="114"/>
      <c r="T51" s="114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20"/>
      <c r="AO51" s="116"/>
      <c r="AP51" s="117"/>
      <c r="AQ51" s="109"/>
      <c r="AR51" s="111"/>
      <c r="AS51" s="111"/>
      <c r="AT51" s="111"/>
      <c r="AU51" s="105"/>
      <c r="AV51" s="118"/>
      <c r="AX51" s="114"/>
    </row>
    <row r="52" spans="1:50" x14ac:dyDescent="0.25">
      <c r="A52" s="105" t="s">
        <v>144</v>
      </c>
      <c r="B52" s="105"/>
      <c r="C52" s="105"/>
      <c r="D52" s="105"/>
      <c r="E52" s="106"/>
      <c r="F52" s="107"/>
      <c r="G52" s="108"/>
      <c r="H52" s="318"/>
      <c r="I52" s="318"/>
      <c r="J52" s="318"/>
      <c r="K52" s="319"/>
      <c r="L52" s="318"/>
      <c r="M52" s="319"/>
      <c r="N52" s="319"/>
      <c r="O52" s="319"/>
      <c r="P52" s="199"/>
      <c r="Q52" s="113"/>
      <c r="R52" s="109"/>
      <c r="S52" s="114"/>
      <c r="T52" s="114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20"/>
      <c r="AO52" s="116"/>
      <c r="AP52" s="117"/>
      <c r="AQ52" s="109"/>
      <c r="AR52" s="111"/>
      <c r="AS52" s="111"/>
      <c r="AT52" s="111"/>
      <c r="AU52" s="105"/>
      <c r="AV52" s="118"/>
      <c r="AX52" s="114"/>
    </row>
    <row r="53" spans="1:50" x14ac:dyDescent="0.25">
      <c r="A53" s="105" t="s">
        <v>145</v>
      </c>
      <c r="B53" s="105"/>
      <c r="C53" s="105"/>
      <c r="D53" s="105"/>
      <c r="E53" s="106"/>
      <c r="F53" s="107"/>
      <c r="G53" s="108"/>
      <c r="H53" s="318"/>
      <c r="I53" s="318"/>
      <c r="J53" s="318"/>
      <c r="K53" s="319"/>
      <c r="L53" s="318"/>
      <c r="M53" s="319"/>
      <c r="N53" s="319"/>
      <c r="O53" s="319"/>
      <c r="P53" s="199"/>
      <c r="Q53" s="113"/>
      <c r="R53" s="109"/>
      <c r="S53" s="114"/>
      <c r="T53" s="114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20"/>
      <c r="AO53" s="116"/>
      <c r="AP53" s="117"/>
      <c r="AQ53" s="109"/>
      <c r="AR53" s="111"/>
      <c r="AS53" s="111"/>
      <c r="AT53" s="111"/>
      <c r="AU53" s="105"/>
      <c r="AV53" s="118"/>
      <c r="AX53" s="114"/>
    </row>
    <row r="54" spans="1:50" x14ac:dyDescent="0.25">
      <c r="A54" s="105" t="s">
        <v>146</v>
      </c>
      <c r="B54" s="105"/>
      <c r="C54" s="105"/>
      <c r="D54" s="105"/>
      <c r="E54" s="106"/>
      <c r="F54" s="107"/>
      <c r="G54" s="108"/>
      <c r="H54" s="318"/>
      <c r="I54" s="318"/>
      <c r="J54" s="318"/>
      <c r="K54" s="319"/>
      <c r="L54" s="318"/>
      <c r="M54" s="319"/>
      <c r="N54" s="319"/>
      <c r="O54" s="319"/>
      <c r="P54" s="199"/>
      <c r="Q54" s="113"/>
      <c r="R54" s="109"/>
      <c r="S54" s="114"/>
      <c r="T54" s="114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20"/>
      <c r="AO54" s="116"/>
      <c r="AP54" s="117"/>
      <c r="AQ54" s="109"/>
      <c r="AR54" s="111"/>
      <c r="AS54" s="111"/>
      <c r="AT54" s="111"/>
      <c r="AU54" s="105"/>
      <c r="AV54" s="118"/>
      <c r="AX54" s="114"/>
    </row>
    <row r="55" spans="1:50" s="302" customFormat="1" x14ac:dyDescent="0.25">
      <c r="A55" s="70" t="s">
        <v>147</v>
      </c>
      <c r="B55" s="85" t="s">
        <v>271</v>
      </c>
      <c r="C55" s="85" t="s">
        <v>275</v>
      </c>
      <c r="D55" s="70" t="s">
        <v>263</v>
      </c>
      <c r="E55" s="86"/>
      <c r="F55" s="16"/>
      <c r="G55" s="87" t="s">
        <v>272</v>
      </c>
      <c r="H55" s="313">
        <v>633136.15399999998</v>
      </c>
      <c r="I55" s="313">
        <v>3048030.713</v>
      </c>
      <c r="J55" s="313">
        <v>102.30200000000001</v>
      </c>
      <c r="K55" s="314" t="s">
        <v>273</v>
      </c>
      <c r="L55" s="315">
        <v>0</v>
      </c>
      <c r="M55" s="313">
        <v>633905.23300000001</v>
      </c>
      <c r="N55" s="313">
        <v>3049240.4479999999</v>
      </c>
      <c r="O55" s="313">
        <v>56.39</v>
      </c>
      <c r="P55" s="309" t="s">
        <v>276</v>
      </c>
      <c r="Q55" s="74">
        <v>3.13</v>
      </c>
      <c r="R55" s="75">
        <v>2</v>
      </c>
      <c r="S55" s="88">
        <v>77.099999999999994</v>
      </c>
      <c r="T55" s="80">
        <v>307</v>
      </c>
      <c r="U55" s="76">
        <v>0</v>
      </c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>
        <f>AVERAGE(U55:AC55)</f>
        <v>0</v>
      </c>
      <c r="AN55" s="89">
        <v>3.67</v>
      </c>
      <c r="AO55" s="90"/>
      <c r="AP55" s="77"/>
      <c r="AQ55" s="75">
        <f t="shared" ref="AQ55:AQ59" si="0">AN55-(AN55-Q55)*(SIN((S55+AX55)*PI()/180))/(COS(AX55*PI()/180))</f>
        <v>3.0808719617460758</v>
      </c>
      <c r="AR55" s="83">
        <f t="shared" ref="AR55:AR59" si="1">H55+($M$1-M55)-(AN55-Q55)*(COS(S55*PI()/180))*(SIN((T55+13+2.3)*PI()/180))</f>
        <v>633136.21272268065</v>
      </c>
      <c r="AS55" s="83">
        <f t="shared" ref="AS55:AS59" si="2">I55+($N$1-N55)-(AN55-Q55)*(COS(S55*PI()/180))*(COS((T55+13+2.3)*PI()/180))</f>
        <v>3048030.5936139976</v>
      </c>
      <c r="AT55" s="83">
        <f t="shared" ref="AT55:AT59" si="3">J55+($O$1-O55)-R55+AN55-(AN55-Q55)*(SIN(S55*PI()/180))-L55</f>
        <v>103.42062895513676</v>
      </c>
      <c r="AU55" s="70"/>
      <c r="AV55" s="92"/>
      <c r="AW55" s="18"/>
      <c r="AX55" s="80">
        <v>27.5</v>
      </c>
    </row>
    <row r="56" spans="1:50" x14ac:dyDescent="0.25">
      <c r="A56" s="105" t="s">
        <v>148</v>
      </c>
      <c r="B56" s="105"/>
      <c r="C56" s="105"/>
      <c r="D56" s="105"/>
      <c r="E56" s="106"/>
      <c r="F56" s="107"/>
      <c r="G56" s="108"/>
      <c r="H56" s="318"/>
      <c r="I56" s="318"/>
      <c r="J56" s="318"/>
      <c r="K56" s="319"/>
      <c r="L56" s="318"/>
      <c r="M56" s="319"/>
      <c r="N56" s="319"/>
      <c r="O56" s="319"/>
      <c r="P56" s="199"/>
      <c r="Q56" s="113"/>
      <c r="R56" s="109"/>
      <c r="S56" s="114">
        <v>90</v>
      </c>
      <c r="T56" s="114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20"/>
      <c r="AO56" s="116"/>
      <c r="AP56" s="117"/>
      <c r="AQ56" s="109"/>
      <c r="AR56" s="111"/>
      <c r="AS56" s="111"/>
      <c r="AT56" s="111"/>
      <c r="AU56" s="105"/>
      <c r="AV56" s="118"/>
      <c r="AX56" s="114"/>
    </row>
    <row r="57" spans="1:50" s="302" customFormat="1" x14ac:dyDescent="0.25">
      <c r="A57" s="85" t="s">
        <v>149</v>
      </c>
      <c r="B57" s="85" t="s">
        <v>271</v>
      </c>
      <c r="C57" s="85" t="s">
        <v>274</v>
      </c>
      <c r="D57" s="70" t="s">
        <v>263</v>
      </c>
      <c r="E57" s="86"/>
      <c r="F57" s="16"/>
      <c r="G57" s="87" t="s">
        <v>272</v>
      </c>
      <c r="H57" s="313">
        <v>633218.049</v>
      </c>
      <c r="I57" s="313">
        <v>3047838.324</v>
      </c>
      <c r="J57" s="313">
        <v>143.17500000000001</v>
      </c>
      <c r="K57" s="314" t="s">
        <v>273</v>
      </c>
      <c r="L57" s="315">
        <v>0</v>
      </c>
      <c r="M57" s="313">
        <v>633905.23300000001</v>
      </c>
      <c r="N57" s="313">
        <v>3049240.4479999999</v>
      </c>
      <c r="O57" s="313">
        <v>56.39</v>
      </c>
      <c r="P57" s="309" t="s">
        <v>293</v>
      </c>
      <c r="Q57" s="74">
        <v>2.57</v>
      </c>
      <c r="R57" s="75">
        <v>2.0499999999999998</v>
      </c>
      <c r="S57" s="88">
        <v>90</v>
      </c>
      <c r="T57" s="80"/>
      <c r="U57" s="76">
        <v>0</v>
      </c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>
        <f t="shared" ref="AM57:AM59" si="4">AVERAGE(U57:AC57)</f>
        <v>0</v>
      </c>
      <c r="AN57" s="89">
        <v>3.67</v>
      </c>
      <c r="AO57" s="90"/>
      <c r="AP57" s="77"/>
      <c r="AQ57" s="75">
        <f t="shared" si="0"/>
        <v>2.57</v>
      </c>
      <c r="AR57" s="83">
        <f t="shared" si="1"/>
        <v>633218.03399999999</v>
      </c>
      <c r="AS57" s="83">
        <f t="shared" si="2"/>
        <v>3047838.3000000003</v>
      </c>
      <c r="AT57" s="83">
        <f t="shared" si="3"/>
        <v>143.66999999999999</v>
      </c>
      <c r="AU57" s="70"/>
      <c r="AV57" s="92"/>
      <c r="AW57" s="18"/>
      <c r="AX57" s="80"/>
    </row>
    <row r="58" spans="1:50" s="302" customFormat="1" x14ac:dyDescent="0.25">
      <c r="A58" s="85" t="s">
        <v>150</v>
      </c>
      <c r="B58" s="85" t="s">
        <v>278</v>
      </c>
      <c r="C58" s="85" t="s">
        <v>279</v>
      </c>
      <c r="D58" s="70" t="s">
        <v>263</v>
      </c>
      <c r="E58" s="86"/>
      <c r="F58" s="16"/>
      <c r="G58" s="87" t="s">
        <v>280</v>
      </c>
      <c r="H58" s="313">
        <v>632964.95600000001</v>
      </c>
      <c r="I58" s="313">
        <v>3047128.5090000001</v>
      </c>
      <c r="J58" s="313">
        <v>169.59200000000001</v>
      </c>
      <c r="K58" s="314" t="s">
        <v>273</v>
      </c>
      <c r="L58" s="315">
        <v>0.11</v>
      </c>
      <c r="M58" s="313">
        <v>633905.23300000001</v>
      </c>
      <c r="N58" s="313">
        <v>3049240.4479999999</v>
      </c>
      <c r="O58" s="313">
        <v>56.39</v>
      </c>
      <c r="P58" s="309" t="s">
        <v>277</v>
      </c>
      <c r="Q58" s="74">
        <v>1.85</v>
      </c>
      <c r="R58" s="75">
        <v>1.85</v>
      </c>
      <c r="S58" s="88">
        <v>90</v>
      </c>
      <c r="T58" s="80"/>
      <c r="U58" s="76">
        <v>0</v>
      </c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>
        <f t="shared" si="4"/>
        <v>0</v>
      </c>
      <c r="AN58" s="89">
        <v>3.67</v>
      </c>
      <c r="AO58" s="90"/>
      <c r="AP58" s="77"/>
      <c r="AQ58" s="75">
        <f t="shared" si="0"/>
        <v>1.85</v>
      </c>
      <c r="AR58" s="83">
        <f t="shared" si="1"/>
        <v>632964.94099999999</v>
      </c>
      <c r="AS58" s="83">
        <f t="shared" si="2"/>
        <v>3047128.4850000003</v>
      </c>
      <c r="AT58" s="83">
        <f t="shared" si="3"/>
        <v>169.45699999999999</v>
      </c>
      <c r="AU58" s="70"/>
      <c r="AV58" s="92"/>
      <c r="AW58" s="18"/>
      <c r="AX58" s="80"/>
    </row>
    <row r="59" spans="1:50" x14ac:dyDescent="0.25">
      <c r="A59" s="85" t="s">
        <v>151</v>
      </c>
      <c r="B59" s="85" t="s">
        <v>271</v>
      </c>
      <c r="C59" s="85" t="s">
        <v>274</v>
      </c>
      <c r="D59" s="70" t="s">
        <v>263</v>
      </c>
      <c r="E59" s="86"/>
      <c r="G59" s="87" t="s">
        <v>272</v>
      </c>
      <c r="H59" s="313">
        <v>633218.049</v>
      </c>
      <c r="I59" s="313">
        <v>3047838.324</v>
      </c>
      <c r="J59" s="313">
        <v>143.17500000000001</v>
      </c>
      <c r="K59" s="314" t="s">
        <v>273</v>
      </c>
      <c r="L59" s="315">
        <v>0</v>
      </c>
      <c r="M59" s="313">
        <v>633905.23300000001</v>
      </c>
      <c r="N59" s="313">
        <v>3049240.4479999999</v>
      </c>
      <c r="O59" s="313">
        <v>56.39</v>
      </c>
      <c r="P59" s="309" t="s">
        <v>293</v>
      </c>
      <c r="Q59" s="74">
        <v>2.57</v>
      </c>
      <c r="R59" s="75">
        <v>2.0499999999999998</v>
      </c>
      <c r="S59" s="88">
        <v>90</v>
      </c>
      <c r="T59" s="80"/>
      <c r="U59" s="76">
        <v>0</v>
      </c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>
        <f t="shared" si="4"/>
        <v>0</v>
      </c>
      <c r="AN59" s="89">
        <v>3.67</v>
      </c>
      <c r="AO59" s="90"/>
      <c r="AP59" s="77"/>
      <c r="AQ59" s="75">
        <f t="shared" si="0"/>
        <v>2.57</v>
      </c>
      <c r="AR59" s="83">
        <f t="shared" si="1"/>
        <v>633218.03399999999</v>
      </c>
      <c r="AS59" s="83">
        <f t="shared" si="2"/>
        <v>3047838.3000000003</v>
      </c>
      <c r="AT59" s="83">
        <f t="shared" si="3"/>
        <v>143.66999999999999</v>
      </c>
      <c r="AU59" s="70"/>
      <c r="AV59" s="92"/>
      <c r="AX59" s="80"/>
    </row>
    <row r="60" spans="1:50" x14ac:dyDescent="0.25">
      <c r="A60" s="85" t="s">
        <v>152</v>
      </c>
      <c r="B60" s="85"/>
      <c r="C60" s="85"/>
      <c r="D60" s="70"/>
      <c r="E60" s="86"/>
      <c r="G60" s="87"/>
      <c r="H60" s="313"/>
      <c r="I60" s="313"/>
      <c r="J60" s="313"/>
      <c r="K60" s="314"/>
      <c r="L60" s="315"/>
      <c r="M60" s="313"/>
      <c r="N60" s="313"/>
      <c r="O60" s="313"/>
      <c r="P60" s="309"/>
      <c r="Q60" s="74"/>
      <c r="R60" s="75"/>
      <c r="S60" s="88"/>
      <c r="T60" s="80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89"/>
      <c r="AO60" s="90"/>
      <c r="AP60" s="77"/>
      <c r="AQ60" s="75"/>
      <c r="AR60" s="83"/>
      <c r="AS60" s="83"/>
      <c r="AT60" s="83"/>
      <c r="AU60" s="70"/>
      <c r="AV60" s="92"/>
      <c r="AX60" s="80"/>
    </row>
    <row r="61" spans="1:50" x14ac:dyDescent="0.25">
      <c r="A61" s="105" t="s">
        <v>153</v>
      </c>
      <c r="B61" s="105"/>
      <c r="C61" s="105"/>
      <c r="D61" s="105"/>
      <c r="E61" s="106"/>
      <c r="F61" s="107"/>
      <c r="G61" s="108"/>
      <c r="H61" s="318"/>
      <c r="I61" s="318"/>
      <c r="J61" s="318"/>
      <c r="K61" s="319"/>
      <c r="L61" s="318"/>
      <c r="M61" s="319"/>
      <c r="N61" s="319"/>
      <c r="O61" s="319"/>
      <c r="P61" s="199"/>
      <c r="Q61" s="113"/>
      <c r="R61" s="109"/>
      <c r="S61" s="114"/>
      <c r="T61" s="114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20"/>
      <c r="AO61" s="116"/>
      <c r="AP61" s="117"/>
      <c r="AQ61" s="109"/>
      <c r="AR61" s="111"/>
      <c r="AS61" s="111"/>
      <c r="AT61" s="111"/>
      <c r="AU61" s="105"/>
      <c r="AV61" s="118"/>
      <c r="AX61" s="114"/>
    </row>
    <row r="62" spans="1:50" x14ac:dyDescent="0.25">
      <c r="A62" s="279" t="s">
        <v>154</v>
      </c>
      <c r="B62" s="279"/>
      <c r="C62" s="279"/>
      <c r="D62" s="280"/>
      <c r="E62" s="297"/>
      <c r="F62" s="298"/>
      <c r="G62" s="299"/>
      <c r="H62" s="321"/>
      <c r="I62" s="321"/>
      <c r="J62" s="321"/>
      <c r="K62" s="322"/>
      <c r="L62" s="323"/>
      <c r="M62" s="321"/>
      <c r="N62" s="321"/>
      <c r="O62" s="321"/>
      <c r="P62" s="310"/>
      <c r="Q62" s="300"/>
      <c r="R62" s="291"/>
      <c r="S62" s="301"/>
      <c r="T62" s="294"/>
      <c r="U62" s="288"/>
      <c r="V62" s="288"/>
      <c r="W62" s="288"/>
      <c r="X62" s="288"/>
      <c r="Y62" s="288"/>
      <c r="Z62" s="288"/>
      <c r="AA62" s="288"/>
      <c r="AB62" s="288"/>
      <c r="AC62" s="288"/>
      <c r="AD62" s="288"/>
      <c r="AE62" s="288"/>
      <c r="AF62" s="288"/>
      <c r="AG62" s="288"/>
      <c r="AH62" s="288"/>
      <c r="AI62" s="288"/>
      <c r="AJ62" s="288"/>
      <c r="AK62" s="288"/>
      <c r="AL62" s="288"/>
      <c r="AM62" s="288"/>
      <c r="AN62" s="289"/>
      <c r="AO62" s="303"/>
      <c r="AP62" s="306"/>
      <c r="AQ62" s="285"/>
      <c r="AR62" s="292"/>
      <c r="AS62" s="292"/>
      <c r="AT62" s="292"/>
      <c r="AU62" s="292"/>
      <c r="AV62" s="290"/>
      <c r="AX62" s="288"/>
    </row>
    <row r="63" spans="1:50" x14ac:dyDescent="0.25">
      <c r="A63" s="85" t="s">
        <v>155</v>
      </c>
      <c r="B63" s="85"/>
      <c r="C63" s="85"/>
      <c r="D63" s="70"/>
      <c r="E63" s="86"/>
      <c r="G63" s="275"/>
      <c r="H63" s="313"/>
      <c r="I63" s="313"/>
      <c r="J63" s="313"/>
      <c r="K63" s="317"/>
      <c r="L63" s="315"/>
      <c r="M63" s="313"/>
      <c r="N63" s="313"/>
      <c r="O63" s="313"/>
      <c r="P63" s="197"/>
      <c r="Q63" s="74"/>
      <c r="R63" s="75"/>
      <c r="S63" s="88"/>
      <c r="T63" s="80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273"/>
      <c r="AN63" s="89"/>
      <c r="AO63" s="277"/>
      <c r="AP63" s="307"/>
      <c r="AQ63" s="75"/>
      <c r="AR63" s="83"/>
      <c r="AS63" s="83"/>
      <c r="AT63" s="83"/>
      <c r="AU63" s="70"/>
      <c r="AV63" s="92"/>
      <c r="AX63" s="80"/>
    </row>
    <row r="64" spans="1:50" x14ac:dyDescent="0.25">
      <c r="A64" s="279" t="s">
        <v>156</v>
      </c>
      <c r="B64" s="279"/>
      <c r="C64" s="279"/>
      <c r="D64" s="280"/>
      <c r="E64" s="297"/>
      <c r="F64" s="298"/>
      <c r="G64" s="299"/>
      <c r="H64" s="321"/>
      <c r="I64" s="321"/>
      <c r="J64" s="321"/>
      <c r="K64" s="322"/>
      <c r="L64" s="323"/>
      <c r="M64" s="321"/>
      <c r="N64" s="321"/>
      <c r="O64" s="321"/>
      <c r="P64" s="310"/>
      <c r="Q64" s="300"/>
      <c r="R64" s="291"/>
      <c r="S64" s="301"/>
      <c r="T64" s="294"/>
      <c r="U64" s="288"/>
      <c r="V64" s="288"/>
      <c r="W64" s="288"/>
      <c r="X64" s="288"/>
      <c r="Y64" s="288"/>
      <c r="Z64" s="288"/>
      <c r="AA64" s="288"/>
      <c r="AB64" s="288"/>
      <c r="AC64" s="288"/>
      <c r="AD64" s="288"/>
      <c r="AE64" s="288"/>
      <c r="AF64" s="288"/>
      <c r="AG64" s="288"/>
      <c r="AH64" s="288"/>
      <c r="AI64" s="288"/>
      <c r="AJ64" s="288"/>
      <c r="AK64" s="288"/>
      <c r="AL64" s="288"/>
      <c r="AM64" s="288"/>
      <c r="AN64" s="289"/>
      <c r="AO64" s="303"/>
      <c r="AP64" s="306"/>
      <c r="AQ64" s="285"/>
      <c r="AR64" s="292"/>
      <c r="AS64" s="292"/>
      <c r="AT64" s="292"/>
      <c r="AU64" s="292"/>
      <c r="AV64" s="290"/>
      <c r="AX64" s="288"/>
    </row>
    <row r="65" spans="1:50" x14ac:dyDescent="0.25">
      <c r="A65" s="85" t="s">
        <v>157</v>
      </c>
      <c r="B65" s="85"/>
      <c r="C65" s="85"/>
      <c r="D65" s="70"/>
      <c r="E65" s="86"/>
      <c r="G65" s="275"/>
      <c r="H65" s="313"/>
      <c r="I65" s="313"/>
      <c r="J65" s="313"/>
      <c r="K65" s="317"/>
      <c r="L65" s="315"/>
      <c r="M65" s="313"/>
      <c r="N65" s="313"/>
      <c r="O65" s="313"/>
      <c r="P65" s="197"/>
      <c r="Q65" s="74"/>
      <c r="R65" s="75"/>
      <c r="S65" s="88"/>
      <c r="T65" s="80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273"/>
      <c r="AN65" s="89"/>
      <c r="AO65" s="277"/>
      <c r="AP65" s="307"/>
      <c r="AQ65" s="75"/>
      <c r="AR65" s="83"/>
      <c r="AS65" s="83"/>
      <c r="AT65" s="83"/>
      <c r="AU65" s="70"/>
      <c r="AV65" s="92"/>
      <c r="AX65" s="80"/>
    </row>
    <row r="66" spans="1:50" x14ac:dyDescent="0.25">
      <c r="A66" s="279" t="s">
        <v>158</v>
      </c>
      <c r="B66" s="279"/>
      <c r="C66" s="279"/>
      <c r="D66" s="280"/>
      <c r="E66" s="297"/>
      <c r="F66" s="298"/>
      <c r="G66" s="299"/>
      <c r="H66" s="321"/>
      <c r="I66" s="321"/>
      <c r="J66" s="321"/>
      <c r="K66" s="322"/>
      <c r="L66" s="323"/>
      <c r="M66" s="321"/>
      <c r="N66" s="321"/>
      <c r="O66" s="321"/>
      <c r="P66" s="310"/>
      <c r="Q66" s="300"/>
      <c r="R66" s="291"/>
      <c r="S66" s="301"/>
      <c r="T66" s="294"/>
      <c r="U66" s="288"/>
      <c r="V66" s="288"/>
      <c r="W66" s="288"/>
      <c r="X66" s="288"/>
      <c r="Y66" s="288"/>
      <c r="Z66" s="288"/>
      <c r="AA66" s="288"/>
      <c r="AB66" s="288"/>
      <c r="AC66" s="288"/>
      <c r="AD66" s="288"/>
      <c r="AE66" s="288"/>
      <c r="AF66" s="288"/>
      <c r="AG66" s="288"/>
      <c r="AH66" s="288"/>
      <c r="AI66" s="288"/>
      <c r="AJ66" s="288"/>
      <c r="AK66" s="288"/>
      <c r="AL66" s="288"/>
      <c r="AM66" s="288"/>
      <c r="AN66" s="289"/>
      <c r="AO66" s="303"/>
      <c r="AP66" s="306"/>
      <c r="AQ66" s="285"/>
      <c r="AR66" s="292"/>
      <c r="AS66" s="292"/>
      <c r="AT66" s="292"/>
      <c r="AU66" s="292"/>
      <c r="AV66" s="290"/>
      <c r="AX66" s="288"/>
    </row>
    <row r="67" spans="1:50" x14ac:dyDescent="0.25">
      <c r="A67" s="259" t="s">
        <v>159</v>
      </c>
      <c r="B67" s="259"/>
      <c r="C67" s="259"/>
      <c r="D67" s="260"/>
      <c r="E67" s="261"/>
      <c r="F67" s="262"/>
      <c r="G67" s="263"/>
      <c r="H67" s="324"/>
      <c r="I67" s="324"/>
      <c r="J67" s="324"/>
      <c r="K67" s="325"/>
      <c r="L67" s="324"/>
      <c r="M67" s="325"/>
      <c r="N67" s="325"/>
      <c r="O67" s="325"/>
      <c r="P67" s="311"/>
      <c r="Q67" s="267"/>
      <c r="R67" s="264"/>
      <c r="S67" s="268"/>
      <c r="T67" s="268"/>
      <c r="U67" s="265"/>
      <c r="V67" s="265"/>
      <c r="W67" s="265"/>
      <c r="X67" s="265"/>
      <c r="Y67" s="265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265"/>
      <c r="AK67" s="265"/>
      <c r="AL67" s="265"/>
      <c r="AM67" s="265"/>
      <c r="AN67" s="269"/>
      <c r="AO67" s="304"/>
      <c r="AP67" s="308"/>
      <c r="AQ67" s="264"/>
      <c r="AR67" s="266"/>
      <c r="AS67" s="266"/>
      <c r="AT67" s="266"/>
      <c r="AU67" s="260"/>
      <c r="AV67" s="270"/>
      <c r="AX67" s="268"/>
    </row>
    <row r="68" spans="1:50" x14ac:dyDescent="0.25">
      <c r="A68" s="85" t="s">
        <v>160</v>
      </c>
      <c r="B68" s="85"/>
      <c r="C68" s="85"/>
      <c r="D68" s="70"/>
      <c r="E68" s="86"/>
      <c r="G68" s="275"/>
      <c r="H68" s="313"/>
      <c r="I68" s="313"/>
      <c r="J68" s="313"/>
      <c r="K68" s="316"/>
      <c r="L68" s="315"/>
      <c r="M68" s="313"/>
      <c r="N68" s="313"/>
      <c r="O68" s="313"/>
      <c r="P68" s="197"/>
      <c r="Q68" s="74"/>
      <c r="R68" s="75"/>
      <c r="S68" s="88"/>
      <c r="T68" s="80"/>
      <c r="U68" s="76"/>
      <c r="V68" s="76"/>
      <c r="W68" s="76"/>
      <c r="X68" s="76"/>
      <c r="Y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273"/>
      <c r="AN68" s="89"/>
      <c r="AO68" s="277"/>
      <c r="AP68" s="307"/>
      <c r="AQ68" s="75"/>
      <c r="AR68" s="83"/>
      <c r="AS68" s="83"/>
      <c r="AT68" s="83"/>
      <c r="AU68" s="70"/>
      <c r="AV68" s="92"/>
      <c r="AX68" s="80"/>
    </row>
    <row r="69" spans="1:50" x14ac:dyDescent="0.25">
      <c r="A69" s="259" t="s">
        <v>161</v>
      </c>
      <c r="B69" s="259"/>
      <c r="C69" s="259"/>
      <c r="D69" s="260"/>
      <c r="E69" s="261"/>
      <c r="F69" s="262"/>
      <c r="G69" s="263"/>
      <c r="H69" s="324"/>
      <c r="I69" s="324"/>
      <c r="J69" s="324"/>
      <c r="K69" s="325"/>
      <c r="L69" s="324"/>
      <c r="M69" s="325"/>
      <c r="N69" s="325"/>
      <c r="O69" s="325"/>
      <c r="P69" s="311"/>
      <c r="Q69" s="267"/>
      <c r="R69" s="264"/>
      <c r="S69" s="268"/>
      <c r="T69" s="268"/>
      <c r="U69" s="265"/>
      <c r="V69" s="265"/>
      <c r="W69" s="265"/>
      <c r="X69" s="265"/>
      <c r="Y69" s="265"/>
      <c r="Z69" s="265"/>
      <c r="AA69" s="265"/>
      <c r="AB69" s="265"/>
      <c r="AC69" s="265"/>
      <c r="AD69" s="265"/>
      <c r="AE69" s="265"/>
      <c r="AF69" s="265"/>
      <c r="AG69" s="265"/>
      <c r="AH69" s="265"/>
      <c r="AI69" s="265"/>
      <c r="AJ69" s="265"/>
      <c r="AK69" s="265"/>
      <c r="AL69" s="265"/>
      <c r="AM69" s="265"/>
      <c r="AN69" s="269"/>
      <c r="AO69" s="304"/>
      <c r="AP69" s="308"/>
      <c r="AQ69" s="264"/>
      <c r="AR69" s="266"/>
      <c r="AS69" s="266"/>
      <c r="AT69" s="266"/>
      <c r="AU69" s="260"/>
      <c r="AV69" s="270"/>
      <c r="AX69" s="268"/>
    </row>
    <row r="70" spans="1:50" x14ac:dyDescent="0.25">
      <c r="A70" s="85" t="s">
        <v>162</v>
      </c>
      <c r="B70" s="85"/>
      <c r="C70" s="85"/>
      <c r="D70" s="70"/>
      <c r="E70" s="86"/>
      <c r="G70" s="275"/>
      <c r="H70" s="313"/>
      <c r="I70" s="313"/>
      <c r="J70" s="313"/>
      <c r="K70" s="317"/>
      <c r="L70" s="315"/>
      <c r="M70" s="313"/>
      <c r="N70" s="313"/>
      <c r="O70" s="313"/>
      <c r="P70" s="197"/>
      <c r="Q70" s="74"/>
      <c r="R70" s="75"/>
      <c r="S70" s="88"/>
      <c r="T70" s="80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273"/>
      <c r="AN70" s="89"/>
      <c r="AO70" s="277"/>
      <c r="AP70" s="307"/>
      <c r="AQ70" s="75"/>
      <c r="AR70" s="83"/>
      <c r="AS70" s="83"/>
      <c r="AT70" s="83"/>
      <c r="AU70" s="70"/>
      <c r="AV70" s="92"/>
      <c r="AX70" s="80"/>
    </row>
    <row r="71" spans="1:50" x14ac:dyDescent="0.25">
      <c r="A71" s="85" t="s">
        <v>163</v>
      </c>
      <c r="B71" s="85"/>
      <c r="C71" s="85"/>
      <c r="D71" s="70"/>
      <c r="E71" s="86"/>
      <c r="G71" s="275"/>
      <c r="H71" s="313"/>
      <c r="I71" s="313"/>
      <c r="J71" s="313"/>
      <c r="K71" s="317"/>
      <c r="L71" s="315"/>
      <c r="M71" s="313"/>
      <c r="N71" s="313"/>
      <c r="O71" s="313"/>
      <c r="P71" s="197"/>
      <c r="Q71" s="74"/>
      <c r="R71" s="75"/>
      <c r="S71" s="88"/>
      <c r="T71" s="80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273"/>
      <c r="AN71" s="89"/>
      <c r="AO71" s="277"/>
      <c r="AP71" s="307"/>
      <c r="AQ71" s="75"/>
      <c r="AR71" s="83"/>
      <c r="AS71" s="83"/>
      <c r="AT71" s="83"/>
      <c r="AU71" s="70"/>
      <c r="AV71" s="92"/>
      <c r="AX71" s="80"/>
    </row>
    <row r="72" spans="1:50" x14ac:dyDescent="0.25">
      <c r="A72" s="85" t="s">
        <v>164</v>
      </c>
      <c r="B72" s="85"/>
      <c r="C72" s="85"/>
      <c r="D72" s="85"/>
      <c r="E72" s="86"/>
      <c r="G72" s="87"/>
      <c r="H72" s="313"/>
      <c r="I72" s="313"/>
      <c r="J72" s="313"/>
      <c r="K72" s="314"/>
      <c r="L72" s="315"/>
      <c r="M72" s="313"/>
      <c r="N72" s="313"/>
      <c r="O72" s="313"/>
      <c r="P72" s="197"/>
      <c r="Q72" s="74"/>
      <c r="R72" s="75"/>
      <c r="S72" s="88"/>
      <c r="T72" s="80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273"/>
      <c r="AN72" s="89"/>
      <c r="AO72" s="277"/>
      <c r="AP72" s="307"/>
      <c r="AQ72" s="75"/>
      <c r="AR72" s="83"/>
      <c r="AS72" s="83"/>
      <c r="AT72" s="83"/>
      <c r="AU72" s="70"/>
      <c r="AV72" s="92"/>
      <c r="AX72" s="80"/>
    </row>
    <row r="73" spans="1:50" x14ac:dyDescent="0.25">
      <c r="A73" s="279" t="s">
        <v>165</v>
      </c>
      <c r="B73" s="279"/>
      <c r="C73" s="279"/>
      <c r="D73" s="280"/>
      <c r="E73" s="297"/>
      <c r="F73" s="298"/>
      <c r="G73" s="299"/>
      <c r="H73" s="321"/>
      <c r="I73" s="321"/>
      <c r="J73" s="321"/>
      <c r="K73" s="322"/>
      <c r="L73" s="323"/>
      <c r="M73" s="321"/>
      <c r="N73" s="321"/>
      <c r="O73" s="321"/>
      <c r="P73" s="310"/>
      <c r="Q73" s="300"/>
      <c r="R73" s="291"/>
      <c r="S73" s="301"/>
      <c r="T73" s="294"/>
      <c r="U73" s="288"/>
      <c r="V73" s="288"/>
      <c r="W73" s="288"/>
      <c r="X73" s="288"/>
      <c r="Y73" s="288"/>
      <c r="Z73" s="288"/>
      <c r="AA73" s="288"/>
      <c r="AB73" s="288"/>
      <c r="AC73" s="288"/>
      <c r="AD73" s="288"/>
      <c r="AE73" s="288"/>
      <c r="AF73" s="288"/>
      <c r="AG73" s="288"/>
      <c r="AH73" s="288"/>
      <c r="AI73" s="288"/>
      <c r="AJ73" s="288"/>
      <c r="AK73" s="288"/>
      <c r="AL73" s="288"/>
      <c r="AM73" s="288"/>
      <c r="AN73" s="289"/>
      <c r="AO73" s="303"/>
      <c r="AP73" s="306"/>
      <c r="AQ73" s="285"/>
      <c r="AR73" s="292"/>
      <c r="AS73" s="292"/>
      <c r="AT73" s="292"/>
      <c r="AU73" s="292"/>
      <c r="AV73" s="290"/>
      <c r="AX73" s="288"/>
    </row>
    <row r="74" spans="1:50" x14ac:dyDescent="0.25">
      <c r="A74" s="85" t="s">
        <v>166</v>
      </c>
      <c r="B74" s="85"/>
      <c r="C74" s="85"/>
      <c r="D74" s="70"/>
      <c r="E74" s="86"/>
      <c r="G74" s="87"/>
      <c r="H74" s="313"/>
      <c r="I74" s="313"/>
      <c r="J74" s="313"/>
      <c r="K74" s="314"/>
      <c r="L74" s="326"/>
      <c r="M74" s="313"/>
      <c r="N74" s="313"/>
      <c r="O74" s="313"/>
      <c r="P74" s="197"/>
      <c r="Q74" s="74"/>
      <c r="R74" s="75"/>
      <c r="S74" s="88"/>
      <c r="T74" s="80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89"/>
      <c r="AO74" s="305"/>
      <c r="AP74" s="307"/>
      <c r="AQ74" s="75"/>
      <c r="AR74" s="83"/>
      <c r="AS74" s="83"/>
      <c r="AT74" s="83"/>
      <c r="AU74" s="70"/>
      <c r="AV74" s="92"/>
      <c r="AX74" s="80"/>
    </row>
    <row r="75" spans="1:50" x14ac:dyDescent="0.25">
      <c r="A75" s="85" t="s">
        <v>264</v>
      </c>
      <c r="B75" s="85"/>
      <c r="C75" s="85"/>
      <c r="D75" s="70"/>
      <c r="E75" s="86"/>
      <c r="G75" s="275"/>
      <c r="H75" s="313"/>
      <c r="I75" s="313"/>
      <c r="J75" s="313"/>
      <c r="K75" s="317"/>
      <c r="L75" s="315"/>
      <c r="M75" s="313"/>
      <c r="N75" s="313"/>
      <c r="O75" s="313"/>
      <c r="P75" s="197"/>
      <c r="Q75" s="74"/>
      <c r="R75" s="75"/>
      <c r="S75" s="88"/>
      <c r="T75" s="80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89"/>
      <c r="AO75" s="305"/>
      <c r="AP75" s="307"/>
      <c r="AQ75" s="75"/>
      <c r="AR75" s="83"/>
      <c r="AS75" s="83"/>
      <c r="AT75" s="83"/>
      <c r="AU75" s="70"/>
      <c r="AV75" s="92"/>
      <c r="AX75" s="80"/>
    </row>
    <row r="76" spans="1:50" x14ac:dyDescent="0.25">
      <c r="A76" s="14" t="s">
        <v>286</v>
      </c>
      <c r="B76" s="211"/>
      <c r="C76" s="212"/>
      <c r="D76" s="85"/>
      <c r="E76" s="211"/>
      <c r="F76" s="221"/>
      <c r="G76" s="275"/>
      <c r="H76" s="313"/>
      <c r="I76" s="313"/>
      <c r="J76" s="313"/>
      <c r="K76" s="314"/>
      <c r="L76" s="314"/>
      <c r="M76" s="313"/>
      <c r="N76" s="313"/>
      <c r="O76" s="313"/>
      <c r="P76" s="197"/>
      <c r="Q76" s="74"/>
      <c r="R76" s="75"/>
      <c r="S76" s="88"/>
      <c r="T76" s="80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89"/>
      <c r="AO76" s="305"/>
      <c r="AP76" s="307"/>
      <c r="AQ76" s="75"/>
      <c r="AR76" s="83"/>
      <c r="AS76" s="83"/>
      <c r="AT76" s="83"/>
      <c r="AU76" s="70"/>
      <c r="AV76" s="92"/>
      <c r="AX76" s="80"/>
    </row>
    <row r="77" spans="1:50" x14ac:dyDescent="0.25">
      <c r="A77" s="14" t="s">
        <v>287</v>
      </c>
      <c r="B77" s="211"/>
      <c r="C77" s="212"/>
      <c r="D77" s="85"/>
      <c r="E77" s="201"/>
      <c r="F77" s="220"/>
      <c r="G77" s="275"/>
      <c r="H77" s="313"/>
      <c r="I77" s="313"/>
      <c r="J77" s="313"/>
      <c r="K77" s="314"/>
      <c r="L77" s="317"/>
      <c r="M77" s="313"/>
      <c r="N77" s="313"/>
      <c r="O77" s="313"/>
      <c r="P77" s="197"/>
      <c r="Q77" s="74"/>
      <c r="R77" s="75"/>
      <c r="S77" s="88"/>
      <c r="T77" s="80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89"/>
      <c r="AO77" s="305"/>
      <c r="AP77" s="307"/>
      <c r="AQ77" s="222"/>
      <c r="AR77" s="83"/>
      <c r="AS77" s="83"/>
      <c r="AT77" s="83"/>
      <c r="AU77" s="70"/>
      <c r="AV77" s="92"/>
      <c r="AX77" s="80"/>
    </row>
    <row r="78" spans="1:50" x14ac:dyDescent="0.25">
      <c r="A78" s="14" t="s">
        <v>288</v>
      </c>
      <c r="B78" s="211"/>
      <c r="C78" s="212"/>
      <c r="D78" s="85"/>
      <c r="E78" s="201"/>
      <c r="F78" s="220"/>
      <c r="G78" s="275"/>
      <c r="H78" s="313"/>
      <c r="I78" s="313"/>
      <c r="J78" s="313"/>
      <c r="K78" s="314"/>
      <c r="L78" s="317"/>
      <c r="M78" s="313"/>
      <c r="N78" s="313"/>
      <c r="O78" s="313"/>
      <c r="P78" s="197"/>
      <c r="Q78" s="74"/>
      <c r="R78" s="75"/>
      <c r="S78" s="88"/>
      <c r="T78" s="80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89"/>
      <c r="AO78" s="305"/>
      <c r="AP78" s="307"/>
      <c r="AQ78" s="222"/>
      <c r="AR78" s="83"/>
      <c r="AS78" s="83"/>
      <c r="AT78" s="83"/>
      <c r="AU78" s="70"/>
      <c r="AV78" s="92"/>
      <c r="AX78" s="80"/>
    </row>
    <row r="79" spans="1:50" x14ac:dyDescent="0.25">
      <c r="A79" s="14" t="s">
        <v>289</v>
      </c>
      <c r="B79" s="211"/>
      <c r="C79" s="212"/>
      <c r="D79" s="85"/>
      <c r="E79" s="201"/>
      <c r="F79" s="220"/>
      <c r="G79" s="275"/>
      <c r="H79" s="313"/>
      <c r="I79" s="313"/>
      <c r="J79" s="313"/>
      <c r="K79" s="314"/>
      <c r="L79" s="317"/>
      <c r="M79" s="313"/>
      <c r="N79" s="313"/>
      <c r="O79" s="313"/>
      <c r="P79" s="197"/>
      <c r="Q79" s="74"/>
      <c r="R79" s="75"/>
      <c r="S79" s="88"/>
      <c r="T79" s="80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89"/>
      <c r="AO79" s="305"/>
      <c r="AP79" s="307"/>
      <c r="AQ79" s="222"/>
      <c r="AR79" s="83"/>
      <c r="AS79" s="83"/>
      <c r="AT79" s="83"/>
      <c r="AU79" s="70"/>
      <c r="AV79" s="92"/>
      <c r="AX79" s="80"/>
    </row>
  </sheetData>
  <sheetProtection selectLockedCells="1" selectUnlockedCells="1"/>
  <phoneticPr fontId="24" type="noConversion"/>
  <printOptions horizontalCentered="1" verticalCentered="1"/>
  <pageMargins left="0.31527777777777777" right="0.31527777777777777" top="1" bottom="1" header="0.51180555555555551" footer="0"/>
  <pageSetup paperSize="9" firstPageNumber="0" orientation="landscape" horizontalDpi="300" verticalDpi="300" r:id="rId1"/>
  <headerFooter alignWithMargins="0">
    <oddFooter>&amp;C&amp;A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X75"/>
  <sheetViews>
    <sheetView zoomScaleNormal="98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ColWidth="11.08984375" defaultRowHeight="12.5" x14ac:dyDescent="0.25"/>
  <cols>
    <col min="1" max="1" width="9.36328125" style="14" customWidth="1"/>
    <col min="2" max="2" width="9.36328125" style="15" customWidth="1"/>
    <col min="3" max="3" width="9.08984375" style="16" customWidth="1"/>
    <col min="4" max="4" width="9.36328125" style="14" customWidth="1"/>
    <col min="5" max="5" width="9.36328125" style="15" customWidth="1"/>
    <col min="6" max="6" width="9.08984375" style="16" customWidth="1"/>
    <col min="7" max="7" width="15.54296875" style="17" customWidth="1"/>
    <col min="8" max="10" width="12" style="17" customWidth="1"/>
    <col min="11" max="11" width="7.08984375" style="14" customWidth="1"/>
    <col min="12" max="12" width="8.81640625" style="14" customWidth="1"/>
    <col min="13" max="15" width="12" style="14" customWidth="1"/>
    <col min="16" max="16" width="30.54296875" style="18" customWidth="1"/>
    <col min="17" max="20" width="6.54296875" style="19" customWidth="1"/>
    <col min="21" max="38" width="4.54296875" style="19" customWidth="1"/>
    <col min="39" max="39" width="8.36328125" style="19" customWidth="1"/>
    <col min="40" max="40" width="6.54296875" style="19" customWidth="1"/>
    <col min="41" max="42" width="30.54296875" style="19" customWidth="1"/>
    <col min="43" max="43" width="6.54296875" style="19" customWidth="1"/>
    <col min="44" max="46" width="12" style="19" customWidth="1"/>
    <col min="47" max="47" width="6.54296875" customWidth="1"/>
    <col min="48" max="48" width="30.54296875" style="14" customWidth="1"/>
    <col min="49" max="49" width="6.54296875" style="14" customWidth="1"/>
    <col min="50" max="50" width="6.54296875" style="19" customWidth="1"/>
    <col min="51" max="16384" width="11.08984375" style="18"/>
  </cols>
  <sheetData>
    <row r="1" spans="1:50" s="35" customFormat="1" ht="15" x14ac:dyDescent="0.4">
      <c r="A1" s="20" t="s">
        <v>42</v>
      </c>
      <c r="B1" s="169" t="s">
        <v>262</v>
      </c>
      <c r="C1" s="22" t="s">
        <v>43</v>
      </c>
      <c r="D1" s="23" t="s">
        <v>266</v>
      </c>
      <c r="E1" s="24" t="s">
        <v>44</v>
      </c>
      <c r="F1" s="25" t="s">
        <v>265</v>
      </c>
      <c r="G1" s="26" t="s">
        <v>45</v>
      </c>
      <c r="H1" s="121" t="s">
        <v>46</v>
      </c>
      <c r="I1" s="28"/>
      <c r="J1" s="27"/>
      <c r="K1" s="29"/>
      <c r="L1" s="30" t="s">
        <v>47</v>
      </c>
      <c r="M1" s="31">
        <v>633905.21799999999</v>
      </c>
      <c r="N1" s="31">
        <v>3049240.4240000001</v>
      </c>
      <c r="O1" s="31">
        <f>56.475-0.11</f>
        <v>56.365000000000002</v>
      </c>
      <c r="P1" s="122" t="s">
        <v>167</v>
      </c>
      <c r="Q1" s="123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V1" s="36"/>
      <c r="AW1" s="14"/>
      <c r="AX1" s="34"/>
    </row>
    <row r="2" spans="1:50" ht="15" x14ac:dyDescent="0.4">
      <c r="A2" s="37" t="s">
        <v>49</v>
      </c>
      <c r="B2" s="38" t="s">
        <v>50</v>
      </c>
      <c r="C2" s="39" t="s">
        <v>51</v>
      </c>
      <c r="D2" s="38" t="s">
        <v>52</v>
      </c>
      <c r="E2" s="40" t="s">
        <v>53</v>
      </c>
      <c r="F2" s="41" t="s">
        <v>54</v>
      </c>
      <c r="G2" s="223" t="s">
        <v>55</v>
      </c>
      <c r="H2" s="43" t="s">
        <v>1</v>
      </c>
      <c r="I2" s="44" t="s">
        <v>3</v>
      </c>
      <c r="J2" s="44" t="s">
        <v>5</v>
      </c>
      <c r="K2" s="44" t="s">
        <v>56</v>
      </c>
      <c r="L2" s="45" t="s">
        <v>57</v>
      </c>
      <c r="M2" s="46" t="s">
        <v>11</v>
      </c>
      <c r="N2" s="46" t="s">
        <v>58</v>
      </c>
      <c r="O2" s="46" t="s">
        <v>15</v>
      </c>
      <c r="P2" s="47" t="s">
        <v>59</v>
      </c>
      <c r="Q2" s="48" t="s">
        <v>60</v>
      </c>
      <c r="R2" s="49" t="s">
        <v>61</v>
      </c>
      <c r="S2" s="50" t="s">
        <v>22</v>
      </c>
      <c r="T2" s="51" t="s">
        <v>24</v>
      </c>
      <c r="U2" s="52"/>
      <c r="V2" s="53"/>
      <c r="W2" s="53"/>
      <c r="X2" s="53"/>
      <c r="Y2" s="53" t="s">
        <v>62</v>
      </c>
      <c r="Z2" s="53"/>
      <c r="AA2" s="53"/>
      <c r="AB2" s="53"/>
      <c r="AC2" s="54"/>
      <c r="AD2" s="53"/>
      <c r="AE2" s="53"/>
      <c r="AF2" s="53"/>
      <c r="AG2" s="53"/>
      <c r="AH2" s="53" t="s">
        <v>63</v>
      </c>
      <c r="AI2" s="53"/>
      <c r="AJ2" s="53"/>
      <c r="AK2" s="53"/>
      <c r="AL2" s="55"/>
      <c r="AM2" s="56" t="s">
        <v>64</v>
      </c>
      <c r="AN2" s="57" t="s">
        <v>65</v>
      </c>
      <c r="AO2" s="58" t="s">
        <v>66</v>
      </c>
      <c r="AP2" s="47" t="s">
        <v>67</v>
      </c>
      <c r="AQ2" s="59" t="s">
        <v>68</v>
      </c>
      <c r="AR2" s="60" t="s">
        <v>69</v>
      </c>
      <c r="AS2" s="61" t="s">
        <v>70</v>
      </c>
      <c r="AT2" s="61" t="s">
        <v>71</v>
      </c>
      <c r="AU2" s="52" t="s">
        <v>72</v>
      </c>
      <c r="AV2" s="47" t="s">
        <v>73</v>
      </c>
      <c r="AW2" s="124" t="s">
        <v>40</v>
      </c>
      <c r="AX2" s="51" t="s">
        <v>26</v>
      </c>
    </row>
    <row r="3" spans="1:50" x14ac:dyDescent="0.25">
      <c r="B3" s="62" t="s">
        <v>74</v>
      </c>
      <c r="C3" s="63" t="s">
        <v>75</v>
      </c>
      <c r="D3" s="64" t="s">
        <v>168</v>
      </c>
      <c r="E3" s="62" t="s">
        <v>74</v>
      </c>
      <c r="F3" s="63" t="s">
        <v>75</v>
      </c>
      <c r="G3" s="224"/>
      <c r="H3" s="67" t="s">
        <v>78</v>
      </c>
      <c r="I3" s="68" t="s">
        <v>79</v>
      </c>
      <c r="J3" s="69" t="s">
        <v>80</v>
      </c>
      <c r="K3" s="70"/>
      <c r="L3" s="71"/>
      <c r="M3" s="72" t="s">
        <v>81</v>
      </c>
      <c r="N3" s="68" t="s">
        <v>82</v>
      </c>
      <c r="O3" s="69" t="s">
        <v>83</v>
      </c>
      <c r="P3" s="73"/>
      <c r="Q3" s="74" t="s">
        <v>84</v>
      </c>
      <c r="R3" s="75" t="s">
        <v>84</v>
      </c>
      <c r="S3" s="76" t="s">
        <v>85</v>
      </c>
      <c r="T3" s="76" t="s">
        <v>85</v>
      </c>
      <c r="U3" s="76" t="s">
        <v>86</v>
      </c>
      <c r="V3" s="76" t="s">
        <v>87</v>
      </c>
      <c r="W3" s="76" t="s">
        <v>88</v>
      </c>
      <c r="X3" s="76" t="s">
        <v>89</v>
      </c>
      <c r="Y3" s="76" t="s">
        <v>90</v>
      </c>
      <c r="Z3" s="76" t="s">
        <v>91</v>
      </c>
      <c r="AA3" s="76" t="s">
        <v>92</v>
      </c>
      <c r="AB3" s="76" t="s">
        <v>93</v>
      </c>
      <c r="AC3" s="77" t="s">
        <v>94</v>
      </c>
      <c r="AD3" s="75" t="s">
        <v>86</v>
      </c>
      <c r="AE3" s="76" t="s">
        <v>87</v>
      </c>
      <c r="AF3" s="76" t="s">
        <v>88</v>
      </c>
      <c r="AG3" s="76" t="s">
        <v>89</v>
      </c>
      <c r="AH3" s="76" t="s">
        <v>90</v>
      </c>
      <c r="AI3" s="76" t="s">
        <v>91</v>
      </c>
      <c r="AJ3" s="76" t="s">
        <v>92</v>
      </c>
      <c r="AK3" s="76" t="s">
        <v>93</v>
      </c>
      <c r="AL3" s="76" t="s">
        <v>94</v>
      </c>
      <c r="AM3" s="76" t="s">
        <v>95</v>
      </c>
      <c r="AN3" s="76" t="s">
        <v>96</v>
      </c>
      <c r="AO3" s="76"/>
      <c r="AP3" s="77"/>
      <c r="AQ3" s="75" t="s">
        <v>84</v>
      </c>
      <c r="AR3" s="78" t="s">
        <v>78</v>
      </c>
      <c r="AS3" s="68" t="s">
        <v>79</v>
      </c>
      <c r="AT3" s="69" t="s">
        <v>80</v>
      </c>
      <c r="AU3" s="71"/>
      <c r="AV3" s="79"/>
      <c r="AW3" s="14" t="e">
        <f>AQ3-'Estacas Hurd'!AQ3</f>
        <v>#VALUE!</v>
      </c>
      <c r="AX3" s="80"/>
    </row>
    <row r="4" spans="1:50" x14ac:dyDescent="0.25">
      <c r="A4" s="70"/>
      <c r="B4" s="62"/>
      <c r="D4" s="70"/>
      <c r="E4" s="62"/>
      <c r="G4" s="225"/>
      <c r="H4" s="69"/>
      <c r="I4" s="82"/>
      <c r="J4" s="69"/>
      <c r="K4" s="70"/>
      <c r="L4" s="83"/>
      <c r="M4" s="71"/>
      <c r="N4" s="71"/>
      <c r="O4" s="71"/>
      <c r="P4" s="194"/>
      <c r="Q4" s="74"/>
      <c r="R4" s="75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5"/>
      <c r="AR4" s="83"/>
      <c r="AS4" s="76"/>
      <c r="AT4" s="76"/>
      <c r="AU4" s="71"/>
      <c r="AV4" s="79"/>
      <c r="AW4" s="19"/>
      <c r="AX4" s="80"/>
    </row>
    <row r="5" spans="1:50" x14ac:dyDescent="0.25">
      <c r="A5" s="70" t="s">
        <v>97</v>
      </c>
      <c r="B5" s="86"/>
      <c r="D5" s="85"/>
      <c r="E5" s="85"/>
      <c r="F5" s="196"/>
      <c r="G5" s="327"/>
      <c r="H5" s="215"/>
      <c r="I5" s="215"/>
      <c r="J5" s="215"/>
      <c r="K5" s="201"/>
      <c r="L5" s="200"/>
      <c r="M5" s="215"/>
      <c r="N5" s="215"/>
      <c r="O5" s="215"/>
      <c r="P5" s="197"/>
      <c r="Q5" s="74"/>
      <c r="R5" s="75"/>
      <c r="S5" s="88"/>
      <c r="T5" s="80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89"/>
      <c r="AO5" s="125"/>
      <c r="AP5" s="77"/>
      <c r="AQ5" s="75"/>
      <c r="AR5" s="91"/>
      <c r="AS5" s="83"/>
      <c r="AT5" s="83"/>
      <c r="AU5" s="71"/>
      <c r="AV5" s="92"/>
      <c r="AW5" s="126"/>
      <c r="AX5" s="80"/>
    </row>
    <row r="6" spans="1:50" x14ac:dyDescent="0.25">
      <c r="A6" s="70" t="s">
        <v>98</v>
      </c>
      <c r="B6" s="86"/>
      <c r="D6" s="85"/>
      <c r="E6" s="85"/>
      <c r="G6" s="328"/>
      <c r="H6" s="215"/>
      <c r="I6" s="215"/>
      <c r="J6" s="215"/>
      <c r="K6" s="201"/>
      <c r="L6" s="200"/>
      <c r="M6" s="215"/>
      <c r="N6" s="215"/>
      <c r="O6" s="215"/>
      <c r="P6" s="197"/>
      <c r="Q6" s="74"/>
      <c r="R6" s="75"/>
      <c r="S6" s="88"/>
      <c r="T6" s="80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89"/>
      <c r="AO6" s="125"/>
      <c r="AP6" s="77"/>
      <c r="AQ6" s="75"/>
      <c r="AR6" s="91"/>
      <c r="AS6" s="83"/>
      <c r="AT6" s="83"/>
      <c r="AU6" s="71"/>
      <c r="AV6" s="92"/>
      <c r="AW6" s="126"/>
      <c r="AX6" s="80"/>
    </row>
    <row r="7" spans="1:50" x14ac:dyDescent="0.25">
      <c r="A7" s="70" t="s">
        <v>99</v>
      </c>
      <c r="B7" s="86"/>
      <c r="C7" s="127"/>
      <c r="D7" s="85"/>
      <c r="E7" s="62"/>
      <c r="G7" s="328"/>
      <c r="H7" s="215"/>
      <c r="I7" s="215"/>
      <c r="J7" s="215"/>
      <c r="K7" s="201"/>
      <c r="L7" s="200"/>
      <c r="M7" s="215"/>
      <c r="N7" s="215"/>
      <c r="O7" s="215"/>
      <c r="P7" s="197"/>
      <c r="Q7" s="74"/>
      <c r="R7" s="75"/>
      <c r="S7" s="213"/>
      <c r="T7" s="80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89"/>
      <c r="AO7" s="76"/>
      <c r="AP7" s="77"/>
      <c r="AQ7" s="75"/>
      <c r="AR7" s="91"/>
      <c r="AS7" s="83"/>
      <c r="AT7" s="83"/>
      <c r="AU7" s="71"/>
      <c r="AV7" s="92"/>
      <c r="AW7" s="126"/>
      <c r="AX7" s="80"/>
    </row>
    <row r="8" spans="1:50" x14ac:dyDescent="0.25">
      <c r="A8" s="70" t="s">
        <v>100</v>
      </c>
      <c r="B8" s="86"/>
      <c r="D8" s="85"/>
      <c r="E8" s="86"/>
      <c r="G8" s="328"/>
      <c r="H8" s="215"/>
      <c r="I8" s="215"/>
      <c r="J8" s="215"/>
      <c r="K8" s="201"/>
      <c r="L8" s="200"/>
      <c r="M8" s="215"/>
      <c r="N8" s="215"/>
      <c r="O8" s="215"/>
      <c r="P8" s="197"/>
      <c r="Q8" s="74"/>
      <c r="R8" s="282"/>
      <c r="S8" s="213"/>
      <c r="T8" s="80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89"/>
      <c r="AO8" s="125"/>
      <c r="AP8" s="77"/>
      <c r="AQ8" s="75"/>
      <c r="AR8" s="91"/>
      <c r="AS8" s="83"/>
      <c r="AT8" s="83"/>
      <c r="AU8" s="71"/>
      <c r="AV8" s="92"/>
      <c r="AW8" s="126"/>
      <c r="AX8" s="80"/>
    </row>
    <row r="9" spans="1:50" x14ac:dyDescent="0.25">
      <c r="A9" s="70" t="s">
        <v>101</v>
      </c>
      <c r="B9" s="86"/>
      <c r="D9" s="85"/>
      <c r="E9" s="86"/>
      <c r="G9" s="327"/>
      <c r="H9" s="200"/>
      <c r="I9" s="200"/>
      <c r="J9" s="200"/>
      <c r="K9" s="201"/>
      <c r="L9" s="200"/>
      <c r="M9" s="203"/>
      <c r="N9" s="203"/>
      <c r="O9" s="203"/>
      <c r="P9" s="197"/>
      <c r="Q9" s="74"/>
      <c r="R9" s="75"/>
      <c r="S9" s="213"/>
      <c r="T9" s="80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89"/>
      <c r="AO9" s="125"/>
      <c r="AP9" s="77"/>
      <c r="AQ9" s="75"/>
      <c r="AR9" s="91"/>
      <c r="AS9" s="83"/>
      <c r="AT9" s="83"/>
      <c r="AU9" s="71"/>
      <c r="AV9" s="92"/>
      <c r="AW9" s="126"/>
      <c r="AX9" s="80"/>
    </row>
    <row r="10" spans="1:50" x14ac:dyDescent="0.25">
      <c r="A10" s="70" t="s">
        <v>102</v>
      </c>
      <c r="B10" s="85"/>
      <c r="D10" s="85"/>
      <c r="E10" s="86"/>
      <c r="G10" s="327"/>
      <c r="H10" s="200"/>
      <c r="I10" s="200"/>
      <c r="J10" s="200"/>
      <c r="K10" s="201"/>
      <c r="L10" s="200"/>
      <c r="M10" s="210"/>
      <c r="N10" s="210"/>
      <c r="O10" s="210"/>
      <c r="P10" s="197"/>
      <c r="Q10" s="74"/>
      <c r="R10" s="75"/>
      <c r="S10" s="213"/>
      <c r="T10" s="80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89"/>
      <c r="AO10" s="125"/>
      <c r="AP10" s="77"/>
      <c r="AQ10" s="75"/>
      <c r="AR10" s="91"/>
      <c r="AS10" s="83"/>
      <c r="AT10" s="83"/>
      <c r="AU10" s="71"/>
      <c r="AV10" s="92"/>
      <c r="AW10" s="126"/>
      <c r="AX10" s="80"/>
    </row>
    <row r="11" spans="1:50" x14ac:dyDescent="0.25">
      <c r="A11" s="93" t="s">
        <v>103</v>
      </c>
      <c r="B11" s="94"/>
      <c r="C11" s="95"/>
      <c r="D11" s="93"/>
      <c r="E11" s="94"/>
      <c r="F11" s="95"/>
      <c r="G11" s="329"/>
      <c r="H11" s="204"/>
      <c r="I11" s="204"/>
      <c r="J11" s="204"/>
      <c r="K11" s="205"/>
      <c r="L11" s="204"/>
      <c r="M11" s="206"/>
      <c r="N11" s="206"/>
      <c r="O11" s="206"/>
      <c r="P11" s="198"/>
      <c r="Q11" s="98"/>
      <c r="R11" s="99"/>
      <c r="S11" s="100"/>
      <c r="T11" s="100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2"/>
      <c r="AO11" s="101"/>
      <c r="AP11" s="103"/>
      <c r="AQ11" s="99"/>
      <c r="AR11" s="128"/>
      <c r="AS11" s="96"/>
      <c r="AT11" s="96"/>
      <c r="AU11" s="97"/>
      <c r="AV11" s="104"/>
      <c r="AW11" s="129"/>
      <c r="AX11" s="100"/>
    </row>
    <row r="12" spans="1:50" x14ac:dyDescent="0.25">
      <c r="A12" s="105" t="s">
        <v>104</v>
      </c>
      <c r="B12" s="106"/>
      <c r="C12" s="107"/>
      <c r="D12" s="105"/>
      <c r="E12" s="106"/>
      <c r="F12" s="107"/>
      <c r="G12" s="330"/>
      <c r="H12" s="207"/>
      <c r="I12" s="207"/>
      <c r="J12" s="207"/>
      <c r="K12" s="208"/>
      <c r="L12" s="207"/>
      <c r="M12" s="209"/>
      <c r="N12" s="209"/>
      <c r="O12" s="209"/>
      <c r="P12" s="199"/>
      <c r="Q12" s="113"/>
      <c r="R12" s="109"/>
      <c r="S12" s="114"/>
      <c r="T12" s="114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5"/>
      <c r="AO12" s="110"/>
      <c r="AP12" s="117"/>
      <c r="AQ12" s="109"/>
      <c r="AR12" s="131"/>
      <c r="AS12" s="111"/>
      <c r="AT12" s="111"/>
      <c r="AU12" s="112"/>
      <c r="AV12" s="118"/>
      <c r="AW12" s="132"/>
      <c r="AX12" s="114"/>
    </row>
    <row r="13" spans="1:50" x14ac:dyDescent="0.25">
      <c r="A13" s="105" t="s">
        <v>105</v>
      </c>
      <c r="B13" s="106"/>
      <c r="C13" s="107"/>
      <c r="D13" s="105"/>
      <c r="E13" s="106"/>
      <c r="F13" s="107"/>
      <c r="G13" s="330"/>
      <c r="H13" s="207"/>
      <c r="I13" s="207"/>
      <c r="J13" s="207"/>
      <c r="K13" s="208"/>
      <c r="L13" s="207"/>
      <c r="M13" s="209"/>
      <c r="N13" s="209"/>
      <c r="O13" s="209"/>
      <c r="P13" s="199"/>
      <c r="Q13" s="113"/>
      <c r="R13" s="109"/>
      <c r="S13" s="114"/>
      <c r="T13" s="114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5"/>
      <c r="AO13" s="110"/>
      <c r="AP13" s="117"/>
      <c r="AQ13" s="109"/>
      <c r="AR13" s="131"/>
      <c r="AS13" s="111"/>
      <c r="AT13" s="111"/>
      <c r="AU13" s="112"/>
      <c r="AV13" s="118"/>
      <c r="AW13" s="132"/>
      <c r="AX13" s="114"/>
    </row>
    <row r="14" spans="1:50" x14ac:dyDescent="0.25">
      <c r="A14" s="70" t="s">
        <v>106</v>
      </c>
      <c r="B14" s="86"/>
      <c r="D14" s="85"/>
      <c r="E14" s="85"/>
      <c r="F14" s="196"/>
      <c r="G14" s="327"/>
      <c r="H14" s="215"/>
      <c r="I14" s="215"/>
      <c r="J14" s="215"/>
      <c r="K14" s="201"/>
      <c r="L14" s="200"/>
      <c r="M14" s="215"/>
      <c r="N14" s="215"/>
      <c r="O14" s="215"/>
      <c r="P14" s="197"/>
      <c r="Q14" s="74"/>
      <c r="R14" s="75"/>
      <c r="S14" s="88"/>
      <c r="T14" s="80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89"/>
      <c r="AO14" s="125"/>
      <c r="AP14" s="77"/>
      <c r="AQ14" s="75"/>
      <c r="AR14" s="91"/>
      <c r="AS14" s="83"/>
      <c r="AT14" s="83"/>
      <c r="AU14" s="71"/>
      <c r="AV14" s="92"/>
      <c r="AW14" s="126"/>
      <c r="AX14" s="80"/>
    </row>
    <row r="15" spans="1:50" x14ac:dyDescent="0.25">
      <c r="A15" s="70" t="s">
        <v>107</v>
      </c>
      <c r="B15" s="86"/>
      <c r="D15" s="85"/>
      <c r="E15" s="86"/>
      <c r="G15" s="327"/>
      <c r="H15" s="200"/>
      <c r="I15" s="200"/>
      <c r="J15" s="200"/>
      <c r="K15" s="201"/>
      <c r="L15" s="200"/>
      <c r="M15" s="203"/>
      <c r="N15" s="203"/>
      <c r="O15" s="203"/>
      <c r="P15" s="197"/>
      <c r="Q15" s="74"/>
      <c r="R15" s="75"/>
      <c r="S15" s="213"/>
      <c r="T15" s="80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89"/>
      <c r="AO15" s="125"/>
      <c r="AP15" s="77"/>
      <c r="AQ15" s="75"/>
      <c r="AR15" s="91"/>
      <c r="AS15" s="83"/>
      <c r="AT15" s="83"/>
      <c r="AU15" s="71"/>
      <c r="AV15" s="92"/>
      <c r="AW15" s="126"/>
      <c r="AX15" s="80"/>
    </row>
    <row r="16" spans="1:50" x14ac:dyDescent="0.25">
      <c r="A16" s="93" t="s">
        <v>108</v>
      </c>
      <c r="B16" s="94"/>
      <c r="C16" s="95"/>
      <c r="D16" s="93"/>
      <c r="E16" s="94"/>
      <c r="F16" s="95"/>
      <c r="G16" s="329"/>
      <c r="H16" s="204"/>
      <c r="I16" s="204"/>
      <c r="J16" s="204"/>
      <c r="K16" s="205"/>
      <c r="L16" s="204"/>
      <c r="M16" s="206"/>
      <c r="N16" s="206"/>
      <c r="O16" s="206"/>
      <c r="P16" s="198"/>
      <c r="Q16" s="98"/>
      <c r="R16" s="99"/>
      <c r="S16" s="100"/>
      <c r="T16" s="100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2"/>
      <c r="AO16" s="101"/>
      <c r="AP16" s="103"/>
      <c r="AQ16" s="99"/>
      <c r="AR16" s="128"/>
      <c r="AS16" s="96"/>
      <c r="AT16" s="96"/>
      <c r="AU16" s="97"/>
      <c r="AV16" s="104"/>
      <c r="AW16" s="129"/>
      <c r="AX16" s="100"/>
    </row>
    <row r="17" spans="1:50" x14ac:dyDescent="0.25">
      <c r="A17" s="93" t="s">
        <v>109</v>
      </c>
      <c r="B17" s="94"/>
      <c r="C17" s="95"/>
      <c r="D17" s="93"/>
      <c r="E17" s="94"/>
      <c r="F17" s="95"/>
      <c r="G17" s="329"/>
      <c r="H17" s="204"/>
      <c r="I17" s="204"/>
      <c r="J17" s="204"/>
      <c r="K17" s="205"/>
      <c r="L17" s="204"/>
      <c r="M17" s="206"/>
      <c r="N17" s="206"/>
      <c r="O17" s="206"/>
      <c r="P17" s="198"/>
      <c r="Q17" s="98"/>
      <c r="R17" s="99"/>
      <c r="S17" s="100"/>
      <c r="T17" s="100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2"/>
      <c r="AO17" s="101"/>
      <c r="AP17" s="103"/>
      <c r="AQ17" s="99"/>
      <c r="AR17" s="128"/>
      <c r="AS17" s="96"/>
      <c r="AT17" s="96"/>
      <c r="AU17" s="97"/>
      <c r="AV17" s="104"/>
      <c r="AW17" s="129"/>
      <c r="AX17" s="100"/>
    </row>
    <row r="18" spans="1:50" x14ac:dyDescent="0.25">
      <c r="A18" s="93" t="s">
        <v>110</v>
      </c>
      <c r="B18" s="94"/>
      <c r="C18" s="95"/>
      <c r="D18" s="93"/>
      <c r="E18" s="94"/>
      <c r="F18" s="95"/>
      <c r="G18" s="329"/>
      <c r="H18" s="204"/>
      <c r="I18" s="204"/>
      <c r="J18" s="204"/>
      <c r="K18" s="205"/>
      <c r="L18" s="204"/>
      <c r="M18" s="206"/>
      <c r="N18" s="206"/>
      <c r="O18" s="206"/>
      <c r="P18" s="198"/>
      <c r="Q18" s="98"/>
      <c r="R18" s="99"/>
      <c r="S18" s="100"/>
      <c r="T18" s="100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2"/>
      <c r="AO18" s="101"/>
      <c r="AP18" s="103"/>
      <c r="AQ18" s="99"/>
      <c r="AR18" s="128"/>
      <c r="AS18" s="96"/>
      <c r="AT18" s="96"/>
      <c r="AU18" s="97"/>
      <c r="AV18" s="104"/>
      <c r="AW18" s="129"/>
      <c r="AX18" s="100"/>
    </row>
    <row r="19" spans="1:50" x14ac:dyDescent="0.25">
      <c r="A19" s="105" t="s">
        <v>111</v>
      </c>
      <c r="B19" s="106"/>
      <c r="C19" s="107"/>
      <c r="D19" s="105"/>
      <c r="E19" s="106"/>
      <c r="F19" s="107"/>
      <c r="G19" s="330"/>
      <c r="H19" s="207"/>
      <c r="I19" s="207"/>
      <c r="J19" s="207"/>
      <c r="K19" s="208"/>
      <c r="L19" s="207"/>
      <c r="M19" s="209"/>
      <c r="N19" s="209"/>
      <c r="O19" s="209"/>
      <c r="P19" s="199"/>
      <c r="Q19" s="113"/>
      <c r="R19" s="109"/>
      <c r="S19" s="114"/>
      <c r="T19" s="114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5"/>
      <c r="AO19" s="110"/>
      <c r="AP19" s="117"/>
      <c r="AQ19" s="109"/>
      <c r="AR19" s="131"/>
      <c r="AS19" s="111"/>
      <c r="AT19" s="111"/>
      <c r="AU19" s="112"/>
      <c r="AV19" s="118"/>
      <c r="AW19" s="132"/>
      <c r="AX19" s="114"/>
    </row>
    <row r="20" spans="1:50" x14ac:dyDescent="0.25">
      <c r="A20" s="105" t="s">
        <v>112</v>
      </c>
      <c r="B20" s="106"/>
      <c r="C20" s="107"/>
      <c r="D20" s="105"/>
      <c r="E20" s="106"/>
      <c r="F20" s="107"/>
      <c r="G20" s="330"/>
      <c r="H20" s="207"/>
      <c r="I20" s="207"/>
      <c r="J20" s="207"/>
      <c r="K20" s="208"/>
      <c r="L20" s="207"/>
      <c r="M20" s="209"/>
      <c r="N20" s="209"/>
      <c r="O20" s="209"/>
      <c r="P20" s="199"/>
      <c r="Q20" s="113"/>
      <c r="R20" s="109"/>
      <c r="S20" s="114"/>
      <c r="T20" s="114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5"/>
      <c r="AO20" s="110"/>
      <c r="AP20" s="117"/>
      <c r="AQ20" s="109"/>
      <c r="AR20" s="131"/>
      <c r="AS20" s="111"/>
      <c r="AT20" s="111"/>
      <c r="AU20" s="112"/>
      <c r="AV20" s="118"/>
      <c r="AW20" s="132"/>
      <c r="AX20" s="114"/>
    </row>
    <row r="21" spans="1:50" x14ac:dyDescent="0.25">
      <c r="A21" s="105" t="s">
        <v>113</v>
      </c>
      <c r="B21" s="106"/>
      <c r="C21" s="107"/>
      <c r="D21" s="105"/>
      <c r="E21" s="106"/>
      <c r="F21" s="107"/>
      <c r="G21" s="330"/>
      <c r="H21" s="207"/>
      <c r="I21" s="207"/>
      <c r="J21" s="207"/>
      <c r="K21" s="208"/>
      <c r="L21" s="207"/>
      <c r="M21" s="209"/>
      <c r="N21" s="209"/>
      <c r="O21" s="209"/>
      <c r="P21" s="199"/>
      <c r="Q21" s="113"/>
      <c r="R21" s="109"/>
      <c r="S21" s="114"/>
      <c r="T21" s="114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5"/>
      <c r="AO21" s="110"/>
      <c r="AP21" s="117"/>
      <c r="AQ21" s="109"/>
      <c r="AR21" s="131"/>
      <c r="AS21" s="111"/>
      <c r="AT21" s="111"/>
      <c r="AU21" s="112"/>
      <c r="AV21" s="118"/>
      <c r="AW21" s="132"/>
      <c r="AX21" s="114"/>
    </row>
    <row r="22" spans="1:50" x14ac:dyDescent="0.25">
      <c r="A22" s="105" t="s">
        <v>114</v>
      </c>
      <c r="B22" s="106"/>
      <c r="C22" s="107"/>
      <c r="D22" s="105"/>
      <c r="E22" s="106"/>
      <c r="F22" s="107"/>
      <c r="G22" s="330"/>
      <c r="H22" s="207"/>
      <c r="I22" s="207"/>
      <c r="J22" s="207"/>
      <c r="K22" s="208"/>
      <c r="L22" s="207"/>
      <c r="M22" s="209"/>
      <c r="N22" s="209"/>
      <c r="O22" s="209"/>
      <c r="P22" s="199"/>
      <c r="Q22" s="113"/>
      <c r="R22" s="109"/>
      <c r="S22" s="114"/>
      <c r="T22" s="114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5"/>
      <c r="AO22" s="110"/>
      <c r="AP22" s="117"/>
      <c r="AQ22" s="109"/>
      <c r="AR22" s="131"/>
      <c r="AS22" s="111"/>
      <c r="AT22" s="111"/>
      <c r="AU22" s="112"/>
      <c r="AV22" s="118"/>
      <c r="AW22" s="132"/>
      <c r="AX22" s="114"/>
    </row>
    <row r="23" spans="1:50" x14ac:dyDescent="0.25">
      <c r="A23" s="105" t="s">
        <v>115</v>
      </c>
      <c r="B23" s="106"/>
      <c r="C23" s="107"/>
      <c r="D23" s="105"/>
      <c r="E23" s="106"/>
      <c r="F23" s="107"/>
      <c r="G23" s="330"/>
      <c r="H23" s="207"/>
      <c r="I23" s="207"/>
      <c r="J23" s="207"/>
      <c r="K23" s="208"/>
      <c r="L23" s="207"/>
      <c r="M23" s="209"/>
      <c r="N23" s="209"/>
      <c r="O23" s="209"/>
      <c r="P23" s="199"/>
      <c r="Q23" s="113"/>
      <c r="R23" s="109"/>
      <c r="S23" s="114"/>
      <c r="T23" s="114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5"/>
      <c r="AO23" s="110"/>
      <c r="AP23" s="117"/>
      <c r="AQ23" s="109"/>
      <c r="AR23" s="131"/>
      <c r="AS23" s="111"/>
      <c r="AT23" s="111"/>
      <c r="AU23" s="112"/>
      <c r="AV23" s="118"/>
      <c r="AW23" s="132"/>
      <c r="AX23" s="114"/>
    </row>
    <row r="24" spans="1:50" x14ac:dyDescent="0.25">
      <c r="A24" s="70" t="s">
        <v>116</v>
      </c>
      <c r="B24" s="86"/>
      <c r="D24" s="85"/>
      <c r="E24" s="86"/>
      <c r="G24" s="328"/>
      <c r="H24" s="215"/>
      <c r="I24" s="215"/>
      <c r="J24" s="215"/>
      <c r="K24" s="201"/>
      <c r="L24" s="200"/>
      <c r="M24" s="215"/>
      <c r="N24" s="215"/>
      <c r="O24" s="215"/>
      <c r="P24" s="197"/>
      <c r="Q24" s="74"/>
      <c r="R24" s="74"/>
      <c r="S24" s="213"/>
      <c r="T24" s="80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89"/>
      <c r="AO24" s="125"/>
      <c r="AP24" s="77"/>
      <c r="AQ24" s="75"/>
      <c r="AR24" s="91"/>
      <c r="AS24" s="83"/>
      <c r="AT24" s="83"/>
      <c r="AU24" s="71"/>
      <c r="AV24" s="92"/>
      <c r="AW24" s="126"/>
      <c r="AX24" s="80"/>
    </row>
    <row r="25" spans="1:50" x14ac:dyDescent="0.25">
      <c r="A25" s="105" t="s">
        <v>117</v>
      </c>
      <c r="B25" s="106"/>
      <c r="C25" s="107"/>
      <c r="D25" s="105"/>
      <c r="E25" s="106"/>
      <c r="F25" s="107"/>
      <c r="G25" s="330"/>
      <c r="H25" s="207"/>
      <c r="I25" s="207"/>
      <c r="J25" s="207"/>
      <c r="K25" s="208"/>
      <c r="L25" s="207"/>
      <c r="M25" s="209"/>
      <c r="N25" s="209"/>
      <c r="O25" s="209"/>
      <c r="P25" s="199"/>
      <c r="Q25" s="113"/>
      <c r="R25" s="109"/>
      <c r="S25" s="114"/>
      <c r="T25" s="114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5"/>
      <c r="AO25" s="110"/>
      <c r="AP25" s="117"/>
      <c r="AQ25" s="109"/>
      <c r="AR25" s="131"/>
      <c r="AS25" s="111"/>
      <c r="AT25" s="111"/>
      <c r="AU25" s="112"/>
      <c r="AV25" s="118"/>
      <c r="AW25" s="132"/>
      <c r="AX25" s="114"/>
    </row>
    <row r="26" spans="1:50" x14ac:dyDescent="0.25">
      <c r="A26" s="70" t="s">
        <v>118</v>
      </c>
      <c r="B26" s="86"/>
      <c r="D26" s="85"/>
      <c r="E26" s="86"/>
      <c r="G26" s="328"/>
      <c r="H26" s="215"/>
      <c r="I26" s="215"/>
      <c r="J26" s="215"/>
      <c r="K26" s="201"/>
      <c r="L26" s="200"/>
      <c r="M26" s="215"/>
      <c r="N26" s="215"/>
      <c r="O26" s="215"/>
      <c r="P26" s="197"/>
      <c r="Q26" s="74"/>
      <c r="R26" s="74"/>
      <c r="S26" s="213"/>
      <c r="T26" s="80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89"/>
      <c r="AO26" s="125"/>
      <c r="AP26" s="77"/>
      <c r="AQ26" s="75"/>
      <c r="AR26" s="91"/>
      <c r="AS26" s="83"/>
      <c r="AT26" s="83"/>
      <c r="AU26" s="71"/>
      <c r="AV26" s="92"/>
      <c r="AW26" s="126"/>
      <c r="AX26" s="80"/>
    </row>
    <row r="27" spans="1:50" x14ac:dyDescent="0.25">
      <c r="A27" s="70" t="s">
        <v>119</v>
      </c>
      <c r="B27" s="86"/>
      <c r="D27" s="85"/>
      <c r="E27" s="86"/>
      <c r="G27" s="328"/>
      <c r="H27" s="215"/>
      <c r="I27" s="215"/>
      <c r="J27" s="215"/>
      <c r="K27" s="201"/>
      <c r="L27" s="200"/>
      <c r="M27" s="215"/>
      <c r="N27" s="215"/>
      <c r="O27" s="215"/>
      <c r="P27" s="197"/>
      <c r="Q27" s="74"/>
      <c r="R27" s="74"/>
      <c r="S27" s="213"/>
      <c r="T27" s="80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89"/>
      <c r="AO27" s="125"/>
      <c r="AP27" s="77"/>
      <c r="AQ27" s="75"/>
      <c r="AR27" s="91"/>
      <c r="AS27" s="83"/>
      <c r="AT27" s="83"/>
      <c r="AU27" s="71"/>
      <c r="AV27" s="92"/>
      <c r="AW27" s="126"/>
      <c r="AX27" s="80"/>
    </row>
    <row r="28" spans="1:50" x14ac:dyDescent="0.25">
      <c r="A28" s="105" t="s">
        <v>120</v>
      </c>
      <c r="B28" s="106"/>
      <c r="C28" s="107"/>
      <c r="D28" s="105"/>
      <c r="E28" s="106"/>
      <c r="F28" s="107"/>
      <c r="G28" s="330"/>
      <c r="H28" s="207"/>
      <c r="I28" s="207"/>
      <c r="J28" s="207"/>
      <c r="K28" s="208"/>
      <c r="L28" s="207"/>
      <c r="M28" s="209"/>
      <c r="N28" s="209"/>
      <c r="O28" s="209"/>
      <c r="P28" s="199"/>
      <c r="Q28" s="113"/>
      <c r="R28" s="109"/>
      <c r="S28" s="114"/>
      <c r="T28" s="114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5"/>
      <c r="AO28" s="110"/>
      <c r="AP28" s="117"/>
      <c r="AQ28" s="109"/>
      <c r="AR28" s="131"/>
      <c r="AS28" s="111"/>
      <c r="AT28" s="111"/>
      <c r="AU28" s="112"/>
      <c r="AV28" s="118"/>
      <c r="AW28" s="132"/>
      <c r="AX28" s="114"/>
    </row>
    <row r="29" spans="1:50" x14ac:dyDescent="0.25">
      <c r="A29" s="70" t="s">
        <v>121</v>
      </c>
      <c r="B29" s="86"/>
      <c r="D29" s="85"/>
      <c r="E29" s="86"/>
      <c r="G29" s="327"/>
      <c r="H29" s="200"/>
      <c r="I29" s="200"/>
      <c r="J29" s="200"/>
      <c r="K29" s="201"/>
      <c r="L29" s="200"/>
      <c r="M29" s="203"/>
      <c r="N29" s="203"/>
      <c r="O29" s="203"/>
      <c r="P29" s="197"/>
      <c r="Q29" s="74"/>
      <c r="R29" s="75"/>
      <c r="S29" s="213"/>
      <c r="T29" s="80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89"/>
      <c r="AO29" s="125"/>
      <c r="AP29" s="77"/>
      <c r="AQ29" s="75"/>
      <c r="AR29" s="91"/>
      <c r="AS29" s="83"/>
      <c r="AT29" s="83"/>
      <c r="AU29" s="71"/>
      <c r="AV29" s="92"/>
      <c r="AW29" s="126"/>
      <c r="AX29" s="80"/>
    </row>
    <row r="30" spans="1:50" x14ac:dyDescent="0.25">
      <c r="A30" s="70" t="s">
        <v>122</v>
      </c>
      <c r="B30" s="86"/>
      <c r="D30" s="85"/>
      <c r="E30" s="86"/>
      <c r="G30" s="327"/>
      <c r="H30" s="200"/>
      <c r="I30" s="200"/>
      <c r="J30" s="200"/>
      <c r="K30" s="201"/>
      <c r="L30" s="200"/>
      <c r="M30" s="203"/>
      <c r="N30" s="203"/>
      <c r="O30" s="203"/>
      <c r="P30" s="197"/>
      <c r="Q30" s="74"/>
      <c r="R30" s="75"/>
      <c r="S30" s="213"/>
      <c r="T30" s="80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89"/>
      <c r="AO30" s="125"/>
      <c r="AP30" s="77"/>
      <c r="AQ30" s="75"/>
      <c r="AR30" s="91"/>
      <c r="AS30" s="83"/>
      <c r="AT30" s="83"/>
      <c r="AU30" s="71"/>
      <c r="AV30" s="92"/>
      <c r="AW30" s="126"/>
      <c r="AX30" s="80"/>
    </row>
    <row r="31" spans="1:50" x14ac:dyDescent="0.25">
      <c r="A31" s="70" t="s">
        <v>123</v>
      </c>
      <c r="B31" s="85"/>
      <c r="D31" s="85"/>
      <c r="E31" s="86"/>
      <c r="G31" s="327"/>
      <c r="H31" s="200"/>
      <c r="I31" s="200"/>
      <c r="J31" s="200"/>
      <c r="K31" s="201"/>
      <c r="L31" s="200"/>
      <c r="M31" s="210"/>
      <c r="N31" s="210"/>
      <c r="O31" s="210"/>
      <c r="P31" s="197"/>
      <c r="Q31" s="74"/>
      <c r="R31" s="75"/>
      <c r="S31" s="213"/>
      <c r="T31" s="80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89"/>
      <c r="AO31" s="125"/>
      <c r="AP31" s="77"/>
      <c r="AQ31" s="75"/>
      <c r="AR31" s="91"/>
      <c r="AS31" s="83"/>
      <c r="AT31" s="83"/>
      <c r="AU31" s="71"/>
      <c r="AV31" s="92"/>
      <c r="AW31" s="126"/>
      <c r="AX31" s="80"/>
    </row>
    <row r="32" spans="1:50" x14ac:dyDescent="0.25">
      <c r="A32" s="93" t="s">
        <v>124</v>
      </c>
      <c r="B32" s="94"/>
      <c r="C32" s="95"/>
      <c r="D32" s="93"/>
      <c r="E32" s="94"/>
      <c r="F32" s="95"/>
      <c r="G32" s="329"/>
      <c r="H32" s="204"/>
      <c r="I32" s="204"/>
      <c r="J32" s="204"/>
      <c r="K32" s="205"/>
      <c r="L32" s="204"/>
      <c r="M32" s="206"/>
      <c r="N32" s="206"/>
      <c r="O32" s="206"/>
      <c r="P32" s="198"/>
      <c r="Q32" s="98"/>
      <c r="R32" s="99"/>
      <c r="S32" s="100"/>
      <c r="T32" s="100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2"/>
      <c r="AO32" s="101"/>
      <c r="AP32" s="103"/>
      <c r="AQ32" s="99"/>
      <c r="AR32" s="128"/>
      <c r="AS32" s="96"/>
      <c r="AT32" s="96"/>
      <c r="AU32" s="97"/>
      <c r="AV32" s="104"/>
      <c r="AW32" s="129"/>
      <c r="AX32" s="100"/>
    </row>
    <row r="33" spans="1:50" x14ac:dyDescent="0.25">
      <c r="A33" s="105" t="s">
        <v>125</v>
      </c>
      <c r="B33" s="106"/>
      <c r="C33" s="107"/>
      <c r="D33" s="105"/>
      <c r="E33" s="106"/>
      <c r="F33" s="107"/>
      <c r="G33" s="330"/>
      <c r="H33" s="207"/>
      <c r="I33" s="207"/>
      <c r="J33" s="207"/>
      <c r="K33" s="208"/>
      <c r="L33" s="207"/>
      <c r="M33" s="209"/>
      <c r="N33" s="209"/>
      <c r="O33" s="209"/>
      <c r="P33" s="199"/>
      <c r="Q33" s="113"/>
      <c r="R33" s="109"/>
      <c r="S33" s="114"/>
      <c r="T33" s="114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5"/>
      <c r="AO33" s="110"/>
      <c r="AP33" s="117"/>
      <c r="AQ33" s="109"/>
      <c r="AR33" s="131"/>
      <c r="AS33" s="111"/>
      <c r="AT33" s="111"/>
      <c r="AU33" s="112"/>
      <c r="AV33" s="118"/>
      <c r="AW33" s="132"/>
      <c r="AX33" s="114"/>
    </row>
    <row r="34" spans="1:50" x14ac:dyDescent="0.25">
      <c r="A34" s="70" t="s">
        <v>126</v>
      </c>
      <c r="B34" s="86"/>
      <c r="D34" s="85"/>
      <c r="E34" s="86"/>
      <c r="G34" s="328"/>
      <c r="H34" s="215"/>
      <c r="I34" s="215"/>
      <c r="J34" s="215"/>
      <c r="K34" s="201"/>
      <c r="L34" s="200"/>
      <c r="M34" s="215"/>
      <c r="N34" s="215"/>
      <c r="O34" s="215"/>
      <c r="P34" s="197"/>
      <c r="Q34" s="74"/>
      <c r="R34" s="74"/>
      <c r="S34" s="213"/>
      <c r="T34" s="80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89"/>
      <c r="AO34" s="125"/>
      <c r="AP34" s="77"/>
      <c r="AQ34" s="75"/>
      <c r="AR34" s="91"/>
      <c r="AS34" s="83"/>
      <c r="AT34" s="83"/>
      <c r="AU34" s="71"/>
      <c r="AV34" s="92"/>
      <c r="AW34" s="126"/>
      <c r="AX34" s="80"/>
    </row>
    <row r="35" spans="1:50" x14ac:dyDescent="0.25">
      <c r="A35" s="93" t="s">
        <v>127</v>
      </c>
      <c r="B35" s="94"/>
      <c r="C35" s="95"/>
      <c r="D35" s="93"/>
      <c r="E35" s="94"/>
      <c r="F35" s="95"/>
      <c r="G35" s="329"/>
      <c r="H35" s="204"/>
      <c r="I35" s="204"/>
      <c r="J35" s="204"/>
      <c r="K35" s="205"/>
      <c r="L35" s="204"/>
      <c r="M35" s="206"/>
      <c r="N35" s="206"/>
      <c r="O35" s="206"/>
      <c r="P35" s="198"/>
      <c r="Q35" s="98"/>
      <c r="R35" s="99"/>
      <c r="S35" s="100"/>
      <c r="T35" s="100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19"/>
      <c r="AO35" s="101"/>
      <c r="AP35" s="103"/>
      <c r="AQ35" s="99"/>
      <c r="AR35" s="128"/>
      <c r="AS35" s="96"/>
      <c r="AT35" s="96"/>
      <c r="AU35" s="97"/>
      <c r="AV35" s="104"/>
      <c r="AW35" s="129"/>
      <c r="AX35" s="100"/>
    </row>
    <row r="36" spans="1:50" x14ac:dyDescent="0.25">
      <c r="A36" s="105" t="s">
        <v>128</v>
      </c>
      <c r="B36" s="106"/>
      <c r="C36" s="107"/>
      <c r="D36" s="105"/>
      <c r="E36" s="106"/>
      <c r="F36" s="107"/>
      <c r="G36" s="330"/>
      <c r="H36" s="207"/>
      <c r="I36" s="207"/>
      <c r="J36" s="207"/>
      <c r="K36" s="208"/>
      <c r="L36" s="207"/>
      <c r="M36" s="209"/>
      <c r="N36" s="209"/>
      <c r="O36" s="209"/>
      <c r="P36" s="199"/>
      <c r="Q36" s="113"/>
      <c r="R36" s="109"/>
      <c r="S36" s="114"/>
      <c r="T36" s="114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5"/>
      <c r="AO36" s="110"/>
      <c r="AP36" s="117"/>
      <c r="AQ36" s="109"/>
      <c r="AR36" s="131"/>
      <c r="AS36" s="111"/>
      <c r="AT36" s="111"/>
      <c r="AU36" s="112"/>
      <c r="AV36" s="118"/>
      <c r="AW36" s="132"/>
      <c r="AX36" s="114"/>
    </row>
    <row r="37" spans="1:50" x14ac:dyDescent="0.25">
      <c r="A37" s="105" t="s">
        <v>129</v>
      </c>
      <c r="B37" s="106"/>
      <c r="C37" s="107"/>
      <c r="D37" s="105"/>
      <c r="E37" s="106"/>
      <c r="F37" s="107"/>
      <c r="G37" s="330"/>
      <c r="H37" s="207"/>
      <c r="I37" s="207"/>
      <c r="J37" s="207"/>
      <c r="K37" s="208"/>
      <c r="L37" s="207"/>
      <c r="M37" s="209"/>
      <c r="N37" s="209"/>
      <c r="O37" s="209"/>
      <c r="P37" s="199"/>
      <c r="Q37" s="113"/>
      <c r="R37" s="109"/>
      <c r="S37" s="114"/>
      <c r="T37" s="114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5"/>
      <c r="AO37" s="110"/>
      <c r="AP37" s="117"/>
      <c r="AQ37" s="109"/>
      <c r="AR37" s="131"/>
      <c r="AS37" s="111"/>
      <c r="AT37" s="111"/>
      <c r="AU37" s="112"/>
      <c r="AV37" s="118"/>
      <c r="AW37" s="132"/>
      <c r="AX37" s="114"/>
    </row>
    <row r="38" spans="1:50" x14ac:dyDescent="0.25">
      <c r="A38" s="105" t="s">
        <v>130</v>
      </c>
      <c r="B38" s="106"/>
      <c r="C38" s="107"/>
      <c r="D38" s="105"/>
      <c r="E38" s="106"/>
      <c r="F38" s="107"/>
      <c r="G38" s="330"/>
      <c r="H38" s="207"/>
      <c r="I38" s="207"/>
      <c r="J38" s="207"/>
      <c r="K38" s="208"/>
      <c r="L38" s="207"/>
      <c r="M38" s="209"/>
      <c r="N38" s="209"/>
      <c r="O38" s="209"/>
      <c r="P38" s="199"/>
      <c r="Q38" s="113"/>
      <c r="R38" s="109"/>
      <c r="S38" s="114"/>
      <c r="T38" s="114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5"/>
      <c r="AO38" s="110"/>
      <c r="AP38" s="117"/>
      <c r="AQ38" s="109"/>
      <c r="AR38" s="131"/>
      <c r="AS38" s="111"/>
      <c r="AT38" s="111"/>
      <c r="AU38" s="112"/>
      <c r="AV38" s="118"/>
      <c r="AW38" s="132"/>
      <c r="AX38" s="114"/>
    </row>
    <row r="39" spans="1:50" x14ac:dyDescent="0.25">
      <c r="A39" s="105" t="s">
        <v>131</v>
      </c>
      <c r="B39" s="106"/>
      <c r="C39" s="107"/>
      <c r="D39" s="105"/>
      <c r="E39" s="106"/>
      <c r="F39" s="107"/>
      <c r="G39" s="330"/>
      <c r="H39" s="207"/>
      <c r="I39" s="207"/>
      <c r="J39" s="207"/>
      <c r="K39" s="208"/>
      <c r="L39" s="207"/>
      <c r="M39" s="209"/>
      <c r="N39" s="209"/>
      <c r="O39" s="209"/>
      <c r="P39" s="199"/>
      <c r="Q39" s="113"/>
      <c r="R39" s="109"/>
      <c r="S39" s="114"/>
      <c r="T39" s="114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5"/>
      <c r="AO39" s="110"/>
      <c r="AP39" s="117"/>
      <c r="AQ39" s="109"/>
      <c r="AR39" s="131"/>
      <c r="AS39" s="111"/>
      <c r="AT39" s="111"/>
      <c r="AU39" s="112"/>
      <c r="AV39" s="118"/>
      <c r="AW39" s="132"/>
      <c r="AX39" s="114"/>
    </row>
    <row r="40" spans="1:50" x14ac:dyDescent="0.25">
      <c r="A40" s="70" t="s">
        <v>132</v>
      </c>
      <c r="B40" s="211"/>
      <c r="D40" s="85"/>
      <c r="E40" s="85"/>
      <c r="G40" s="327"/>
      <c r="H40" s="200"/>
      <c r="I40" s="203"/>
      <c r="J40" s="203"/>
      <c r="K40" s="210"/>
      <c r="L40" s="201"/>
      <c r="M40" s="202"/>
      <c r="N40" s="202"/>
      <c r="O40" s="202"/>
      <c r="P40" s="195"/>
      <c r="Q40" s="74"/>
      <c r="R40" s="75"/>
      <c r="S40" s="88"/>
      <c r="T40" s="80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89"/>
      <c r="AO40" s="76"/>
      <c r="AP40" s="77"/>
      <c r="AQ40" s="75"/>
      <c r="AR40" s="91"/>
      <c r="AS40" s="83"/>
      <c r="AT40" s="83"/>
      <c r="AU40" s="71"/>
      <c r="AV40" s="92"/>
      <c r="AW40" s="126"/>
      <c r="AX40" s="80"/>
    </row>
    <row r="41" spans="1:50" x14ac:dyDescent="0.25">
      <c r="A41" s="93" t="s">
        <v>133</v>
      </c>
      <c r="B41" s="94"/>
      <c r="C41" s="95"/>
      <c r="D41" s="93"/>
      <c r="E41" s="94"/>
      <c r="F41" s="95"/>
      <c r="G41" s="329"/>
      <c r="H41" s="204"/>
      <c r="I41" s="204"/>
      <c r="J41" s="204"/>
      <c r="K41" s="205"/>
      <c r="L41" s="204"/>
      <c r="M41" s="206"/>
      <c r="N41" s="206"/>
      <c r="O41" s="206"/>
      <c r="P41" s="198"/>
      <c r="Q41" s="98"/>
      <c r="R41" s="99"/>
      <c r="S41" s="100"/>
      <c r="T41" s="100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2"/>
      <c r="AO41" s="101"/>
      <c r="AP41" s="103"/>
      <c r="AQ41" s="99"/>
      <c r="AR41" s="128"/>
      <c r="AS41" s="96"/>
      <c r="AT41" s="96"/>
      <c r="AU41" s="97"/>
      <c r="AV41" s="104"/>
      <c r="AW41" s="129"/>
      <c r="AX41" s="100"/>
    </row>
    <row r="42" spans="1:50" x14ac:dyDescent="0.25">
      <c r="A42" s="105" t="s">
        <v>134</v>
      </c>
      <c r="B42" s="106"/>
      <c r="C42" s="107"/>
      <c r="D42" s="105"/>
      <c r="E42" s="106"/>
      <c r="F42" s="107"/>
      <c r="G42" s="330"/>
      <c r="H42" s="207"/>
      <c r="I42" s="207"/>
      <c r="J42" s="207"/>
      <c r="K42" s="208"/>
      <c r="L42" s="207"/>
      <c r="M42" s="209"/>
      <c r="N42" s="209"/>
      <c r="O42" s="209"/>
      <c r="P42" s="199"/>
      <c r="Q42" s="113"/>
      <c r="R42" s="109"/>
      <c r="S42" s="114"/>
      <c r="T42" s="114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5"/>
      <c r="AO42" s="110"/>
      <c r="AP42" s="117"/>
      <c r="AQ42" s="109"/>
      <c r="AR42" s="131"/>
      <c r="AS42" s="111"/>
      <c r="AT42" s="111"/>
      <c r="AU42" s="112"/>
      <c r="AV42" s="118"/>
      <c r="AW42" s="132"/>
      <c r="AX42" s="114"/>
    </row>
    <row r="43" spans="1:50" x14ac:dyDescent="0.25">
      <c r="A43" s="105" t="s">
        <v>135</v>
      </c>
      <c r="B43" s="106"/>
      <c r="C43" s="107"/>
      <c r="D43" s="105"/>
      <c r="E43" s="106"/>
      <c r="F43" s="107"/>
      <c r="G43" s="330"/>
      <c r="H43" s="207"/>
      <c r="I43" s="207"/>
      <c r="J43" s="207"/>
      <c r="K43" s="208"/>
      <c r="L43" s="207"/>
      <c r="M43" s="209"/>
      <c r="N43" s="209"/>
      <c r="O43" s="209"/>
      <c r="P43" s="199"/>
      <c r="Q43" s="113"/>
      <c r="R43" s="109"/>
      <c r="S43" s="114"/>
      <c r="T43" s="114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5"/>
      <c r="AO43" s="110"/>
      <c r="AP43" s="117"/>
      <c r="AQ43" s="109"/>
      <c r="AR43" s="131"/>
      <c r="AS43" s="111"/>
      <c r="AT43" s="111"/>
      <c r="AU43" s="112"/>
      <c r="AV43" s="118"/>
      <c r="AW43" s="132"/>
      <c r="AX43" s="114"/>
    </row>
    <row r="44" spans="1:50" x14ac:dyDescent="0.25">
      <c r="A44" s="105" t="s">
        <v>136</v>
      </c>
      <c r="B44" s="106"/>
      <c r="C44" s="107"/>
      <c r="D44" s="105"/>
      <c r="E44" s="106"/>
      <c r="F44" s="107"/>
      <c r="G44" s="330"/>
      <c r="H44" s="207"/>
      <c r="I44" s="207"/>
      <c r="J44" s="207"/>
      <c r="K44" s="208"/>
      <c r="L44" s="207"/>
      <c r="M44" s="209"/>
      <c r="N44" s="209"/>
      <c r="O44" s="209"/>
      <c r="P44" s="199"/>
      <c r="Q44" s="113"/>
      <c r="R44" s="109"/>
      <c r="S44" s="114"/>
      <c r="T44" s="114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5"/>
      <c r="AO44" s="110"/>
      <c r="AP44" s="117"/>
      <c r="AQ44" s="109"/>
      <c r="AR44" s="131"/>
      <c r="AS44" s="111"/>
      <c r="AT44" s="111"/>
      <c r="AU44" s="112"/>
      <c r="AV44" s="118"/>
      <c r="AW44" s="132"/>
      <c r="AX44" s="114"/>
    </row>
    <row r="45" spans="1:50" x14ac:dyDescent="0.25">
      <c r="A45" s="93" t="s">
        <v>137</v>
      </c>
      <c r="B45" s="94"/>
      <c r="C45" s="95"/>
      <c r="D45" s="93"/>
      <c r="E45" s="94"/>
      <c r="F45" s="95"/>
      <c r="G45" s="329"/>
      <c r="H45" s="204"/>
      <c r="I45" s="204"/>
      <c r="J45" s="204"/>
      <c r="K45" s="205"/>
      <c r="L45" s="204"/>
      <c r="M45" s="206"/>
      <c r="N45" s="206"/>
      <c r="O45" s="206"/>
      <c r="P45" s="198"/>
      <c r="Q45" s="98"/>
      <c r="R45" s="99"/>
      <c r="S45" s="100"/>
      <c r="T45" s="100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2"/>
      <c r="AO45" s="101"/>
      <c r="AP45" s="103"/>
      <c r="AQ45" s="99"/>
      <c r="AR45" s="128"/>
      <c r="AS45" s="96"/>
      <c r="AT45" s="96"/>
      <c r="AU45" s="97"/>
      <c r="AV45" s="104"/>
      <c r="AW45" s="129"/>
      <c r="AX45" s="100"/>
    </row>
    <row r="46" spans="1:50" x14ac:dyDescent="0.25">
      <c r="A46" s="93" t="s">
        <v>138</v>
      </c>
      <c r="B46" s="94"/>
      <c r="C46" s="95"/>
      <c r="D46" s="93"/>
      <c r="E46" s="94"/>
      <c r="F46" s="95"/>
      <c r="G46" s="329"/>
      <c r="H46" s="204"/>
      <c r="I46" s="204"/>
      <c r="J46" s="204"/>
      <c r="K46" s="205"/>
      <c r="L46" s="204"/>
      <c r="M46" s="206"/>
      <c r="N46" s="206"/>
      <c r="O46" s="206"/>
      <c r="P46" s="198"/>
      <c r="Q46" s="98"/>
      <c r="R46" s="99"/>
      <c r="S46" s="100"/>
      <c r="T46" s="100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2"/>
      <c r="AO46" s="101"/>
      <c r="AP46" s="103"/>
      <c r="AQ46" s="99"/>
      <c r="AR46" s="128"/>
      <c r="AS46" s="96"/>
      <c r="AT46" s="96"/>
      <c r="AU46" s="97"/>
      <c r="AV46" s="104"/>
      <c r="AW46" s="129"/>
      <c r="AX46" s="100"/>
    </row>
    <row r="47" spans="1:50" x14ac:dyDescent="0.25">
      <c r="A47" s="93" t="s">
        <v>139</v>
      </c>
      <c r="B47" s="94"/>
      <c r="C47" s="95"/>
      <c r="D47" s="93"/>
      <c r="E47" s="94"/>
      <c r="F47" s="95"/>
      <c r="G47" s="329"/>
      <c r="H47" s="204"/>
      <c r="I47" s="204"/>
      <c r="J47" s="204"/>
      <c r="K47" s="205"/>
      <c r="L47" s="204"/>
      <c r="M47" s="206"/>
      <c r="N47" s="206"/>
      <c r="O47" s="206"/>
      <c r="P47" s="198"/>
      <c r="Q47" s="98"/>
      <c r="R47" s="99"/>
      <c r="S47" s="100"/>
      <c r="T47" s="100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2"/>
      <c r="AO47" s="101"/>
      <c r="AP47" s="103"/>
      <c r="AQ47" s="99"/>
      <c r="AR47" s="128"/>
      <c r="AS47" s="96"/>
      <c r="AT47" s="96"/>
      <c r="AU47" s="97"/>
      <c r="AV47" s="104"/>
      <c r="AW47" s="129"/>
      <c r="AX47" s="100"/>
    </row>
    <row r="48" spans="1:50" x14ac:dyDescent="0.25">
      <c r="A48" s="105" t="s">
        <v>140</v>
      </c>
      <c r="B48" s="106"/>
      <c r="C48" s="107"/>
      <c r="D48" s="105"/>
      <c r="E48" s="106"/>
      <c r="F48" s="107"/>
      <c r="G48" s="330"/>
      <c r="H48" s="207"/>
      <c r="I48" s="207"/>
      <c r="J48" s="207"/>
      <c r="K48" s="208"/>
      <c r="L48" s="207"/>
      <c r="M48" s="209"/>
      <c r="N48" s="209"/>
      <c r="O48" s="209"/>
      <c r="P48" s="199"/>
      <c r="Q48" s="113"/>
      <c r="R48" s="109"/>
      <c r="S48" s="114"/>
      <c r="T48" s="114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20"/>
      <c r="AO48" s="110"/>
      <c r="AP48" s="117"/>
      <c r="AQ48" s="109"/>
      <c r="AR48" s="131"/>
      <c r="AS48" s="111"/>
      <c r="AT48" s="111"/>
      <c r="AU48" s="112"/>
      <c r="AV48" s="118"/>
      <c r="AW48" s="132"/>
      <c r="AX48" s="114"/>
    </row>
    <row r="49" spans="1:50" x14ac:dyDescent="0.25">
      <c r="A49" s="93" t="s">
        <v>141</v>
      </c>
      <c r="B49" s="94"/>
      <c r="C49" s="95"/>
      <c r="D49" s="93"/>
      <c r="E49" s="94"/>
      <c r="F49" s="95"/>
      <c r="G49" s="329"/>
      <c r="H49" s="204"/>
      <c r="I49" s="204"/>
      <c r="J49" s="204"/>
      <c r="K49" s="205"/>
      <c r="L49" s="204"/>
      <c r="M49" s="206"/>
      <c r="N49" s="206"/>
      <c r="O49" s="206"/>
      <c r="P49" s="198"/>
      <c r="Q49" s="98"/>
      <c r="R49" s="99"/>
      <c r="S49" s="100"/>
      <c r="T49" s="100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2"/>
      <c r="AO49" s="101"/>
      <c r="AP49" s="103"/>
      <c r="AQ49" s="99"/>
      <c r="AR49" s="128"/>
      <c r="AS49" s="96"/>
      <c r="AT49" s="96"/>
      <c r="AU49" s="97"/>
      <c r="AV49" s="104"/>
      <c r="AW49" s="129"/>
      <c r="AX49" s="100"/>
    </row>
    <row r="50" spans="1:50" x14ac:dyDescent="0.25">
      <c r="A50" s="93" t="s">
        <v>142</v>
      </c>
      <c r="B50" s="94"/>
      <c r="C50" s="95"/>
      <c r="D50" s="93"/>
      <c r="E50" s="94"/>
      <c r="F50" s="95"/>
      <c r="G50" s="329"/>
      <c r="H50" s="204"/>
      <c r="I50" s="204"/>
      <c r="J50" s="204"/>
      <c r="K50" s="205"/>
      <c r="L50" s="204"/>
      <c r="M50" s="206"/>
      <c r="N50" s="206"/>
      <c r="O50" s="206"/>
      <c r="P50" s="198"/>
      <c r="Q50" s="98"/>
      <c r="R50" s="99"/>
      <c r="S50" s="100"/>
      <c r="T50" s="100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2"/>
      <c r="AO50" s="101"/>
      <c r="AP50" s="103"/>
      <c r="AQ50" s="99"/>
      <c r="AR50" s="128"/>
      <c r="AS50" s="96"/>
      <c r="AT50" s="96"/>
      <c r="AU50" s="97"/>
      <c r="AV50" s="104"/>
      <c r="AW50" s="129"/>
      <c r="AX50" s="100"/>
    </row>
    <row r="51" spans="1:50" x14ac:dyDescent="0.25">
      <c r="A51" s="93" t="s">
        <v>143</v>
      </c>
      <c r="B51" s="94"/>
      <c r="C51" s="95"/>
      <c r="D51" s="93"/>
      <c r="E51" s="94"/>
      <c r="F51" s="95"/>
      <c r="G51" s="329"/>
      <c r="H51" s="204"/>
      <c r="I51" s="204"/>
      <c r="J51" s="204"/>
      <c r="K51" s="205"/>
      <c r="L51" s="204"/>
      <c r="M51" s="206"/>
      <c r="N51" s="206"/>
      <c r="O51" s="206"/>
      <c r="P51" s="198"/>
      <c r="Q51" s="98"/>
      <c r="R51" s="99"/>
      <c r="S51" s="100"/>
      <c r="T51" s="100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2"/>
      <c r="AO51" s="101"/>
      <c r="AP51" s="103"/>
      <c r="AQ51" s="99"/>
      <c r="AR51" s="128"/>
      <c r="AS51" s="96"/>
      <c r="AT51" s="96"/>
      <c r="AU51" s="97"/>
      <c r="AV51" s="104"/>
      <c r="AW51" s="129"/>
      <c r="AX51" s="100"/>
    </row>
    <row r="52" spans="1:50" x14ac:dyDescent="0.25">
      <c r="A52" s="93" t="s">
        <v>144</v>
      </c>
      <c r="B52" s="94"/>
      <c r="C52" s="95"/>
      <c r="D52" s="93"/>
      <c r="E52" s="94"/>
      <c r="F52" s="95"/>
      <c r="G52" s="329"/>
      <c r="H52" s="204"/>
      <c r="I52" s="204"/>
      <c r="J52" s="204"/>
      <c r="K52" s="205"/>
      <c r="L52" s="204"/>
      <c r="M52" s="206"/>
      <c r="N52" s="206"/>
      <c r="O52" s="206"/>
      <c r="P52" s="198"/>
      <c r="Q52" s="98"/>
      <c r="R52" s="99"/>
      <c r="S52" s="100"/>
      <c r="T52" s="100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2"/>
      <c r="AO52" s="101"/>
      <c r="AP52" s="103"/>
      <c r="AQ52" s="99"/>
      <c r="AR52" s="128"/>
      <c r="AS52" s="96"/>
      <c r="AT52" s="96"/>
      <c r="AU52" s="97"/>
      <c r="AV52" s="104"/>
      <c r="AW52" s="129"/>
      <c r="AX52" s="100"/>
    </row>
    <row r="53" spans="1:50" x14ac:dyDescent="0.25">
      <c r="A53" s="93" t="s">
        <v>145</v>
      </c>
      <c r="B53" s="94"/>
      <c r="C53" s="95"/>
      <c r="D53" s="93"/>
      <c r="E53" s="94"/>
      <c r="F53" s="95"/>
      <c r="G53" s="329"/>
      <c r="H53" s="204"/>
      <c r="I53" s="204"/>
      <c r="J53" s="204"/>
      <c r="K53" s="205"/>
      <c r="L53" s="204"/>
      <c r="M53" s="206"/>
      <c r="N53" s="206"/>
      <c r="O53" s="206"/>
      <c r="P53" s="198"/>
      <c r="Q53" s="98"/>
      <c r="R53" s="99"/>
      <c r="S53" s="100"/>
      <c r="T53" s="100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2"/>
      <c r="AO53" s="101"/>
      <c r="AP53" s="103"/>
      <c r="AQ53" s="99"/>
      <c r="AR53" s="128"/>
      <c r="AS53" s="96"/>
      <c r="AT53" s="96"/>
      <c r="AU53" s="97"/>
      <c r="AV53" s="104"/>
      <c r="AW53" s="129"/>
      <c r="AX53" s="100"/>
    </row>
    <row r="54" spans="1:50" x14ac:dyDescent="0.25">
      <c r="A54" s="93" t="s">
        <v>146</v>
      </c>
      <c r="B54" s="94"/>
      <c r="C54" s="95"/>
      <c r="D54" s="93"/>
      <c r="E54" s="94"/>
      <c r="F54" s="95"/>
      <c r="G54" s="329"/>
      <c r="H54" s="204"/>
      <c r="I54" s="204"/>
      <c r="J54" s="204"/>
      <c r="K54" s="205"/>
      <c r="L54" s="204"/>
      <c r="M54" s="206"/>
      <c r="N54" s="206"/>
      <c r="O54" s="206"/>
      <c r="P54" s="198"/>
      <c r="Q54" s="98"/>
      <c r="R54" s="99"/>
      <c r="S54" s="100"/>
      <c r="T54" s="100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2"/>
      <c r="AO54" s="101"/>
      <c r="AP54" s="103"/>
      <c r="AQ54" s="99"/>
      <c r="AR54" s="128"/>
      <c r="AS54" s="96"/>
      <c r="AT54" s="96"/>
      <c r="AU54" s="97"/>
      <c r="AV54" s="104"/>
      <c r="AW54" s="129"/>
      <c r="AX54" s="100"/>
    </row>
    <row r="55" spans="1:50" x14ac:dyDescent="0.25">
      <c r="A55" s="71" t="s">
        <v>147</v>
      </c>
      <c r="B55" s="211"/>
      <c r="C55" s="212"/>
      <c r="D55" s="85"/>
      <c r="E55" s="211"/>
      <c r="F55" s="221"/>
      <c r="G55" s="328"/>
      <c r="H55" s="215"/>
      <c r="I55" s="215"/>
      <c r="J55" s="215"/>
      <c r="K55" s="202"/>
      <c r="L55" s="201"/>
      <c r="M55" s="215"/>
      <c r="N55" s="215"/>
      <c r="O55" s="215"/>
      <c r="P55" s="312"/>
      <c r="Q55" s="200"/>
      <c r="R55" s="200"/>
      <c r="S55" s="213"/>
      <c r="T55" s="214"/>
      <c r="U55" s="200"/>
      <c r="V55" s="200"/>
      <c r="W55" s="200"/>
      <c r="X55" s="200"/>
      <c r="Y55" s="200"/>
      <c r="Z55" s="200"/>
      <c r="AA55" s="200"/>
      <c r="AB55" s="200"/>
      <c r="AC55" s="215"/>
      <c r="AD55" s="200"/>
      <c r="AE55" s="200"/>
      <c r="AF55" s="200"/>
      <c r="AG55" s="200"/>
      <c r="AH55" s="200"/>
      <c r="AI55" s="200"/>
      <c r="AJ55" s="200"/>
      <c r="AK55" s="200"/>
      <c r="AL55" s="200"/>
      <c r="AM55" s="200"/>
      <c r="AN55" s="89"/>
      <c r="AO55" s="216"/>
      <c r="AP55" s="218"/>
      <c r="AQ55" s="219"/>
      <c r="AR55" s="217"/>
      <c r="AS55" s="200"/>
      <c r="AT55" s="200"/>
      <c r="AU55" s="202"/>
      <c r="AV55" s="201"/>
      <c r="AW55" s="217"/>
      <c r="AX55" s="214"/>
    </row>
    <row r="56" spans="1:50" x14ac:dyDescent="0.25">
      <c r="A56" s="93" t="s">
        <v>148</v>
      </c>
      <c r="B56" s="94"/>
      <c r="C56" s="95"/>
      <c r="D56" s="93"/>
      <c r="E56" s="94"/>
      <c r="F56" s="95"/>
      <c r="G56" s="329"/>
      <c r="H56" s="204"/>
      <c r="I56" s="204"/>
      <c r="J56" s="204"/>
      <c r="K56" s="205"/>
      <c r="L56" s="204"/>
      <c r="M56" s="206"/>
      <c r="N56" s="206"/>
      <c r="O56" s="206"/>
      <c r="P56" s="198"/>
      <c r="Q56" s="98"/>
      <c r="R56" s="99"/>
      <c r="S56" s="100"/>
      <c r="T56" s="100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2"/>
      <c r="AO56" s="101"/>
      <c r="AP56" s="103"/>
      <c r="AQ56" s="99"/>
      <c r="AR56" s="128"/>
      <c r="AS56" s="96"/>
      <c r="AT56" s="96"/>
      <c r="AU56" s="97"/>
      <c r="AV56" s="104"/>
      <c r="AW56" s="129"/>
      <c r="AX56" s="100"/>
    </row>
    <row r="57" spans="1:50" x14ac:dyDescent="0.25">
      <c r="A57" s="196" t="s">
        <v>149</v>
      </c>
      <c r="B57" s="211"/>
      <c r="C57" s="212"/>
      <c r="D57" s="85"/>
      <c r="E57" s="211"/>
      <c r="F57" s="221"/>
      <c r="G57" s="328"/>
      <c r="H57" s="215"/>
      <c r="I57" s="215"/>
      <c r="J57" s="215"/>
      <c r="K57" s="202"/>
      <c r="L57" s="201"/>
      <c r="M57" s="215"/>
      <c r="N57" s="215"/>
      <c r="O57" s="215"/>
      <c r="P57" s="312"/>
      <c r="Q57" s="200"/>
      <c r="R57" s="200"/>
      <c r="S57" s="213"/>
      <c r="T57" s="200"/>
      <c r="U57" s="200"/>
      <c r="V57" s="200"/>
      <c r="W57" s="80"/>
      <c r="X57" s="200"/>
      <c r="Y57" s="200"/>
      <c r="Z57" s="200"/>
      <c r="AA57" s="200"/>
      <c r="AB57" s="200"/>
      <c r="AC57" s="215"/>
      <c r="AD57" s="200"/>
      <c r="AE57" s="200"/>
      <c r="AF57" s="200"/>
      <c r="AG57" s="200"/>
      <c r="AH57" s="200"/>
      <c r="AI57" s="200"/>
      <c r="AJ57" s="200"/>
      <c r="AK57" s="200"/>
      <c r="AL57" s="200"/>
      <c r="AM57" s="200"/>
      <c r="AN57" s="89"/>
      <c r="AO57" s="200"/>
      <c r="AP57" s="218"/>
      <c r="AQ57" s="219"/>
      <c r="AR57" s="217"/>
      <c r="AS57" s="200"/>
      <c r="AT57" s="200"/>
      <c r="AU57" s="215"/>
      <c r="AV57" s="202"/>
      <c r="AW57" s="217"/>
      <c r="AX57" s="200"/>
    </row>
    <row r="58" spans="1:50" x14ac:dyDescent="0.25">
      <c r="A58" s="196" t="s">
        <v>150</v>
      </c>
      <c r="B58" s="211"/>
      <c r="C58" s="212"/>
      <c r="D58" s="85"/>
      <c r="E58" s="201"/>
      <c r="F58" s="220"/>
      <c r="G58" s="236"/>
      <c r="H58" s="203"/>
      <c r="I58" s="203"/>
      <c r="J58" s="203"/>
      <c r="K58" s="210"/>
      <c r="L58" s="201"/>
      <c r="M58" s="202"/>
      <c r="N58" s="202"/>
      <c r="O58" s="202"/>
      <c r="P58" s="312"/>
      <c r="Q58" s="200"/>
      <c r="R58" s="200"/>
      <c r="S58" s="213"/>
      <c r="T58" s="200"/>
      <c r="U58" s="200"/>
      <c r="V58" s="200"/>
      <c r="W58" s="200"/>
      <c r="X58" s="200"/>
      <c r="Y58" s="200"/>
      <c r="Z58" s="200"/>
      <c r="AA58" s="200"/>
      <c r="AB58" s="200"/>
      <c r="AC58" s="215"/>
      <c r="AD58" s="200"/>
      <c r="AE58" s="200"/>
      <c r="AF58" s="200"/>
      <c r="AG58" s="200"/>
      <c r="AH58" s="200"/>
      <c r="AI58" s="200"/>
      <c r="AJ58" s="200"/>
      <c r="AK58" s="200"/>
      <c r="AL58" s="200"/>
      <c r="AM58" s="200"/>
      <c r="AN58" s="89"/>
      <c r="AO58" s="200"/>
      <c r="AP58" s="218"/>
      <c r="AQ58" s="219"/>
      <c r="AR58" s="217"/>
      <c r="AS58" s="200"/>
      <c r="AT58" s="200"/>
      <c r="AU58" s="215"/>
      <c r="AV58" s="202"/>
      <c r="AW58" s="217"/>
      <c r="AX58" s="200"/>
    </row>
    <row r="59" spans="1:50" x14ac:dyDescent="0.25">
      <c r="A59" s="196" t="s">
        <v>151</v>
      </c>
      <c r="B59" s="211"/>
      <c r="C59" s="212"/>
      <c r="D59" s="85"/>
      <c r="E59" s="211"/>
      <c r="F59" s="221"/>
      <c r="G59" s="328"/>
      <c r="H59" s="215"/>
      <c r="I59" s="215"/>
      <c r="J59" s="215"/>
      <c r="K59" s="202"/>
      <c r="L59" s="201"/>
      <c r="M59" s="215"/>
      <c r="N59" s="215"/>
      <c r="O59" s="215"/>
      <c r="P59" s="312"/>
      <c r="Q59" s="200"/>
      <c r="R59" s="200"/>
      <c r="S59" s="213"/>
      <c r="T59" s="200"/>
      <c r="U59" s="200"/>
      <c r="V59" s="200"/>
      <c r="W59" s="200"/>
      <c r="X59" s="200"/>
      <c r="Y59" s="200"/>
      <c r="Z59" s="200"/>
      <c r="AA59" s="200"/>
      <c r="AB59" s="200"/>
      <c r="AC59" s="215"/>
      <c r="AD59" s="200"/>
      <c r="AE59" s="200"/>
      <c r="AF59" s="200"/>
      <c r="AG59" s="200"/>
      <c r="AH59" s="200"/>
      <c r="AI59" s="200"/>
      <c r="AJ59" s="200"/>
      <c r="AK59" s="200"/>
      <c r="AL59" s="200"/>
      <c r="AM59" s="200"/>
      <c r="AN59" s="89"/>
      <c r="AO59" s="200"/>
      <c r="AP59" s="218"/>
      <c r="AQ59" s="219"/>
      <c r="AR59" s="217"/>
      <c r="AS59" s="200"/>
      <c r="AT59" s="200"/>
      <c r="AU59" s="215"/>
      <c r="AV59" s="202"/>
      <c r="AW59" s="217"/>
      <c r="AX59" s="200"/>
    </row>
    <row r="60" spans="1:50" x14ac:dyDescent="0.25">
      <c r="A60" s="196" t="s">
        <v>152</v>
      </c>
      <c r="B60" s="211"/>
      <c r="C60" s="212"/>
      <c r="D60" s="85"/>
      <c r="E60" s="211"/>
      <c r="F60" s="221"/>
      <c r="G60" s="328"/>
      <c r="H60" s="215"/>
      <c r="I60" s="215"/>
      <c r="J60" s="215"/>
      <c r="K60" s="202"/>
      <c r="L60" s="201"/>
      <c r="M60" s="215"/>
      <c r="N60" s="215"/>
      <c r="O60" s="215"/>
      <c r="P60" s="312"/>
      <c r="Q60" s="200"/>
      <c r="R60" s="200"/>
      <c r="S60" s="213"/>
      <c r="T60" s="200"/>
      <c r="U60" s="200"/>
      <c r="V60" s="200"/>
      <c r="W60" s="200"/>
      <c r="X60" s="200"/>
      <c r="Y60" s="200"/>
      <c r="Z60" s="200"/>
      <c r="AA60" s="200"/>
      <c r="AB60" s="200"/>
      <c r="AC60" s="215"/>
      <c r="AD60" s="200"/>
      <c r="AE60" s="200"/>
      <c r="AF60" s="200"/>
      <c r="AG60" s="200"/>
      <c r="AH60" s="200"/>
      <c r="AI60" s="200"/>
      <c r="AJ60" s="200"/>
      <c r="AK60" s="200"/>
      <c r="AL60" s="200"/>
      <c r="AM60" s="200"/>
      <c r="AN60" s="89"/>
      <c r="AO60" s="200"/>
      <c r="AP60" s="218"/>
      <c r="AQ60" s="219"/>
      <c r="AR60" s="217"/>
      <c r="AS60" s="200"/>
      <c r="AT60" s="200"/>
      <c r="AU60" s="215"/>
      <c r="AV60" s="202"/>
      <c r="AW60" s="217"/>
      <c r="AX60" s="200"/>
    </row>
    <row r="61" spans="1:50" x14ac:dyDescent="0.25">
      <c r="A61" s="93" t="s">
        <v>153</v>
      </c>
      <c r="B61" s="94"/>
      <c r="C61" s="95"/>
      <c r="D61" s="93"/>
      <c r="E61" s="94"/>
      <c r="F61" s="95"/>
      <c r="G61" s="329"/>
      <c r="H61" s="204"/>
      <c r="I61" s="204"/>
      <c r="J61" s="204"/>
      <c r="K61" s="205"/>
      <c r="L61" s="204"/>
      <c r="M61" s="206"/>
      <c r="N61" s="206"/>
      <c r="O61" s="206"/>
      <c r="P61" s="198"/>
      <c r="Q61" s="98"/>
      <c r="R61" s="99"/>
      <c r="S61" s="100"/>
      <c r="T61" s="100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2"/>
      <c r="AO61" s="101"/>
      <c r="AP61" s="103"/>
      <c r="AQ61" s="99"/>
      <c r="AR61" s="128"/>
      <c r="AS61" s="96"/>
      <c r="AT61" s="96"/>
      <c r="AU61" s="97"/>
      <c r="AV61" s="104"/>
      <c r="AW61" s="129"/>
      <c r="AX61" s="100"/>
    </row>
    <row r="62" spans="1:50" x14ac:dyDescent="0.25">
      <c r="A62" s="93" t="s">
        <v>154</v>
      </c>
      <c r="B62" s="94"/>
      <c r="C62" s="95"/>
      <c r="D62" s="93"/>
      <c r="E62" s="94"/>
      <c r="F62" s="95"/>
      <c r="G62" s="329"/>
      <c r="H62" s="204"/>
      <c r="I62" s="204"/>
      <c r="J62" s="204"/>
      <c r="K62" s="205"/>
      <c r="L62" s="204"/>
      <c r="M62" s="206"/>
      <c r="N62" s="206"/>
      <c r="O62" s="206"/>
      <c r="P62" s="198"/>
      <c r="Q62" s="98"/>
      <c r="R62" s="99"/>
      <c r="S62" s="100"/>
      <c r="T62" s="100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2"/>
      <c r="AO62" s="101"/>
      <c r="AP62" s="103"/>
      <c r="AQ62" s="99"/>
      <c r="AR62" s="128"/>
      <c r="AS62" s="96"/>
      <c r="AT62" s="96"/>
      <c r="AU62" s="97"/>
      <c r="AV62" s="104"/>
      <c r="AW62" s="129"/>
      <c r="AX62" s="100"/>
    </row>
    <row r="63" spans="1:50" x14ac:dyDescent="0.25">
      <c r="A63" s="196" t="s">
        <v>155</v>
      </c>
      <c r="B63" s="211"/>
      <c r="C63" s="212"/>
      <c r="D63" s="85"/>
      <c r="E63" s="201"/>
      <c r="F63" s="220"/>
      <c r="G63" s="328"/>
      <c r="H63" s="215"/>
      <c r="I63" s="215"/>
      <c r="J63" s="215"/>
      <c r="K63" s="202"/>
      <c r="L63" s="201"/>
      <c r="M63" s="215"/>
      <c r="N63" s="215"/>
      <c r="O63" s="215"/>
      <c r="P63" s="312"/>
      <c r="Q63" s="200"/>
      <c r="R63" s="200"/>
      <c r="S63" s="213"/>
      <c r="T63" s="200"/>
      <c r="U63" s="200"/>
      <c r="V63" s="200"/>
      <c r="W63" s="200"/>
      <c r="X63" s="200"/>
      <c r="Y63" s="200"/>
      <c r="Z63" s="200"/>
      <c r="AA63" s="200"/>
      <c r="AB63" s="200"/>
      <c r="AC63" s="215"/>
      <c r="AD63" s="200"/>
      <c r="AE63" s="200"/>
      <c r="AF63" s="200"/>
      <c r="AG63" s="200"/>
      <c r="AH63" s="200"/>
      <c r="AI63" s="200"/>
      <c r="AJ63" s="200"/>
      <c r="AK63" s="200"/>
      <c r="AL63" s="200"/>
      <c r="AM63" s="200"/>
      <c r="AN63" s="89"/>
      <c r="AO63" s="200"/>
      <c r="AP63" s="218"/>
      <c r="AQ63" s="219"/>
      <c r="AR63" s="217"/>
      <c r="AS63" s="200"/>
      <c r="AT63" s="200"/>
      <c r="AU63" s="215"/>
      <c r="AV63" s="202"/>
      <c r="AW63" s="217"/>
      <c r="AX63" s="200"/>
    </row>
    <row r="64" spans="1:50" x14ac:dyDescent="0.25">
      <c r="A64" s="93" t="s">
        <v>156</v>
      </c>
      <c r="B64" s="94"/>
      <c r="C64" s="95"/>
      <c r="D64" s="93"/>
      <c r="E64" s="94"/>
      <c r="F64" s="95"/>
      <c r="G64" s="329"/>
      <c r="H64" s="204"/>
      <c r="I64" s="204"/>
      <c r="J64" s="204"/>
      <c r="K64" s="205"/>
      <c r="L64" s="204"/>
      <c r="M64" s="206"/>
      <c r="N64" s="206"/>
      <c r="O64" s="206"/>
      <c r="P64" s="198"/>
      <c r="Q64" s="98"/>
      <c r="R64" s="99"/>
      <c r="S64" s="100"/>
      <c r="T64" s="100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2"/>
      <c r="AO64" s="101"/>
      <c r="AP64" s="103"/>
      <c r="AQ64" s="99"/>
      <c r="AR64" s="128"/>
      <c r="AS64" s="96"/>
      <c r="AT64" s="96"/>
      <c r="AU64" s="97"/>
      <c r="AV64" s="104"/>
      <c r="AW64" s="129"/>
      <c r="AX64" s="100"/>
    </row>
    <row r="65" spans="1:50" x14ac:dyDescent="0.25">
      <c r="A65" s="196" t="s">
        <v>157</v>
      </c>
      <c r="B65" s="211"/>
      <c r="C65" s="212"/>
      <c r="D65" s="85"/>
      <c r="E65" s="201"/>
      <c r="F65" s="220"/>
      <c r="G65" s="328"/>
      <c r="H65" s="215"/>
      <c r="I65" s="215"/>
      <c r="J65" s="215"/>
      <c r="K65" s="202"/>
      <c r="L65" s="201"/>
      <c r="M65" s="215"/>
      <c r="N65" s="215"/>
      <c r="O65" s="215"/>
      <c r="P65" s="312"/>
      <c r="Q65" s="200"/>
      <c r="R65" s="200"/>
      <c r="S65" s="213"/>
      <c r="T65" s="200"/>
      <c r="U65" s="200"/>
      <c r="V65" s="200"/>
      <c r="W65" s="200"/>
      <c r="X65" s="200"/>
      <c r="Y65" s="200"/>
      <c r="Z65" s="200"/>
      <c r="AA65" s="200"/>
      <c r="AB65" s="200"/>
      <c r="AC65" s="215"/>
      <c r="AD65" s="200"/>
      <c r="AE65" s="200"/>
      <c r="AF65" s="200"/>
      <c r="AG65" s="200"/>
      <c r="AH65" s="200"/>
      <c r="AI65" s="200"/>
      <c r="AJ65" s="200"/>
      <c r="AK65" s="200"/>
      <c r="AL65" s="200"/>
      <c r="AM65" s="200"/>
      <c r="AN65" s="89"/>
      <c r="AO65" s="200"/>
      <c r="AP65" s="218"/>
      <c r="AQ65" s="219"/>
      <c r="AR65" s="217"/>
      <c r="AS65" s="200"/>
      <c r="AT65" s="200"/>
      <c r="AU65" s="215"/>
      <c r="AV65" s="202"/>
      <c r="AW65" s="217"/>
      <c r="AX65" s="200"/>
    </row>
    <row r="66" spans="1:50" x14ac:dyDescent="0.25">
      <c r="A66" s="93" t="s">
        <v>158</v>
      </c>
      <c r="B66" s="94"/>
      <c r="C66" s="95"/>
      <c r="D66" s="93"/>
      <c r="E66" s="94"/>
      <c r="F66" s="95"/>
      <c r="G66" s="329"/>
      <c r="H66" s="204"/>
      <c r="I66" s="204"/>
      <c r="J66" s="204"/>
      <c r="K66" s="205"/>
      <c r="L66" s="204"/>
      <c r="M66" s="206"/>
      <c r="N66" s="206"/>
      <c r="O66" s="206"/>
      <c r="P66" s="198"/>
      <c r="Q66" s="98"/>
      <c r="R66" s="99"/>
      <c r="S66" s="100"/>
      <c r="T66" s="100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2"/>
      <c r="AO66" s="101"/>
      <c r="AP66" s="103"/>
      <c r="AQ66" s="99"/>
      <c r="AR66" s="128"/>
      <c r="AS66" s="96"/>
      <c r="AT66" s="96"/>
      <c r="AU66" s="97"/>
      <c r="AV66" s="104"/>
      <c r="AW66" s="129"/>
      <c r="AX66" s="100"/>
    </row>
    <row r="67" spans="1:50" x14ac:dyDescent="0.25">
      <c r="A67" s="248" t="s">
        <v>159</v>
      </c>
      <c r="B67" s="249"/>
      <c r="C67" s="250"/>
      <c r="D67" s="251"/>
      <c r="E67" s="252"/>
      <c r="F67" s="253"/>
      <c r="G67" s="331"/>
      <c r="H67" s="252"/>
      <c r="I67" s="252"/>
      <c r="J67" s="252"/>
      <c r="K67" s="251"/>
      <c r="L67" s="251"/>
      <c r="M67" s="251"/>
      <c r="N67" s="251"/>
      <c r="O67" s="251"/>
      <c r="P67" s="332"/>
      <c r="Q67" s="254"/>
      <c r="R67" s="254"/>
      <c r="S67" s="255"/>
      <c r="T67" s="254"/>
      <c r="U67" s="254"/>
      <c r="V67" s="254"/>
      <c r="W67" s="254"/>
      <c r="X67" s="254"/>
      <c r="Y67" s="254"/>
      <c r="Z67" s="254"/>
      <c r="AA67" s="254"/>
      <c r="AB67" s="254"/>
      <c r="AC67" s="254"/>
      <c r="AD67" s="254"/>
      <c r="AE67" s="254"/>
      <c r="AF67" s="254"/>
      <c r="AG67" s="254"/>
      <c r="AH67" s="254"/>
      <c r="AI67" s="254"/>
      <c r="AJ67" s="254"/>
      <c r="AK67" s="254"/>
      <c r="AL67" s="254"/>
      <c r="AM67" s="254"/>
      <c r="AN67" s="254"/>
      <c r="AO67" s="254"/>
      <c r="AP67" s="256"/>
      <c r="AQ67" s="257"/>
      <c r="AR67" s="258"/>
      <c r="AS67" s="254"/>
      <c r="AT67" s="254"/>
      <c r="AU67" s="252"/>
      <c r="AV67" s="251"/>
      <c r="AW67" s="258"/>
      <c r="AX67" s="254"/>
    </row>
    <row r="68" spans="1:50" ht="13.5" customHeight="1" x14ac:dyDescent="0.25">
      <c r="A68" s="196" t="s">
        <v>160</v>
      </c>
      <c r="B68" s="86"/>
      <c r="C68" s="212"/>
      <c r="D68" s="85"/>
      <c r="E68" s="211"/>
      <c r="F68" s="221"/>
      <c r="G68" s="328"/>
      <c r="H68" s="215"/>
      <c r="I68" s="215"/>
      <c r="J68" s="215"/>
      <c r="K68" s="201"/>
      <c r="L68" s="201"/>
      <c r="M68" s="215"/>
      <c r="N68" s="215"/>
      <c r="O68" s="215"/>
      <c r="P68" s="197"/>
      <c r="Q68" s="200"/>
      <c r="R68" s="200"/>
      <c r="S68" s="213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200"/>
      <c r="AG68" s="200"/>
      <c r="AH68" s="200"/>
      <c r="AI68" s="200"/>
      <c r="AJ68" s="200"/>
      <c r="AK68" s="200"/>
      <c r="AL68" s="200"/>
      <c r="AM68" s="200"/>
      <c r="AN68" s="89"/>
      <c r="AO68" s="200"/>
      <c r="AP68" s="218"/>
      <c r="AQ68" s="219"/>
      <c r="AR68" s="217"/>
      <c r="AS68" s="200"/>
      <c r="AT68" s="200"/>
      <c r="AU68" s="215"/>
      <c r="AV68" s="202"/>
      <c r="AW68" s="217"/>
      <c r="AX68" s="200"/>
    </row>
    <row r="69" spans="1:50" x14ac:dyDescent="0.25">
      <c r="A69" s="248" t="s">
        <v>161</v>
      </c>
      <c r="B69" s="249"/>
      <c r="C69" s="250"/>
      <c r="D69" s="251"/>
      <c r="E69" s="252"/>
      <c r="F69" s="253"/>
      <c r="G69" s="331"/>
      <c r="H69" s="252"/>
      <c r="I69" s="252"/>
      <c r="J69" s="252"/>
      <c r="K69" s="251"/>
      <c r="L69" s="251"/>
      <c r="M69" s="251"/>
      <c r="N69" s="251"/>
      <c r="O69" s="251"/>
      <c r="P69" s="332"/>
      <c r="Q69" s="254"/>
      <c r="R69" s="254"/>
      <c r="S69" s="255"/>
      <c r="T69" s="254"/>
      <c r="U69" s="254"/>
      <c r="V69" s="254"/>
      <c r="W69" s="254"/>
      <c r="X69" s="254"/>
      <c r="Y69" s="254"/>
      <c r="Z69" s="254"/>
      <c r="AA69" s="254"/>
      <c r="AB69" s="254"/>
      <c r="AC69" s="254"/>
      <c r="AD69" s="254"/>
      <c r="AE69" s="254"/>
      <c r="AF69" s="254"/>
      <c r="AG69" s="254"/>
      <c r="AH69" s="254"/>
      <c r="AI69" s="254"/>
      <c r="AJ69" s="254"/>
      <c r="AK69" s="254"/>
      <c r="AL69" s="254"/>
      <c r="AM69" s="254"/>
      <c r="AN69" s="254"/>
      <c r="AO69" s="254"/>
      <c r="AP69" s="256"/>
      <c r="AQ69" s="257"/>
      <c r="AR69" s="258"/>
      <c r="AS69" s="254"/>
      <c r="AT69" s="254"/>
      <c r="AU69" s="252"/>
      <c r="AV69" s="251"/>
      <c r="AW69" s="258"/>
      <c r="AX69" s="254"/>
    </row>
    <row r="70" spans="1:50" x14ac:dyDescent="0.25">
      <c r="A70" s="196" t="s">
        <v>162</v>
      </c>
      <c r="B70" s="211"/>
      <c r="C70" s="212"/>
      <c r="D70" s="85"/>
      <c r="E70" s="211"/>
      <c r="F70" s="221"/>
      <c r="G70" s="236"/>
      <c r="H70" s="203"/>
      <c r="I70" s="203"/>
      <c r="J70" s="203"/>
      <c r="K70" s="202"/>
      <c r="L70" s="202"/>
      <c r="M70" s="202"/>
      <c r="N70" s="202"/>
      <c r="O70" s="202"/>
      <c r="P70" s="312"/>
      <c r="Q70" s="200"/>
      <c r="R70" s="200"/>
      <c r="S70" s="213"/>
      <c r="T70" s="200"/>
      <c r="U70" s="200"/>
      <c r="V70" s="200"/>
      <c r="W70" s="200"/>
      <c r="X70" s="200"/>
      <c r="Y70" s="200"/>
      <c r="Z70" s="200"/>
      <c r="AA70" s="200"/>
      <c r="AB70" s="200"/>
      <c r="AC70" s="200"/>
      <c r="AD70" s="200"/>
      <c r="AE70" s="200"/>
      <c r="AF70" s="200"/>
      <c r="AG70" s="200"/>
      <c r="AH70" s="200"/>
      <c r="AI70" s="200"/>
      <c r="AJ70" s="200"/>
      <c r="AK70" s="200"/>
      <c r="AL70" s="200"/>
      <c r="AM70" s="200"/>
      <c r="AN70" s="89"/>
      <c r="AO70" s="200"/>
      <c r="AP70" s="218"/>
      <c r="AQ70" s="219"/>
      <c r="AR70" s="217"/>
      <c r="AS70" s="200"/>
      <c r="AT70" s="200"/>
      <c r="AU70" s="215"/>
      <c r="AV70" s="202"/>
      <c r="AW70" s="217"/>
      <c r="AX70" s="200"/>
    </row>
    <row r="71" spans="1:50" x14ac:dyDescent="0.25">
      <c r="A71" s="196" t="s">
        <v>163</v>
      </c>
      <c r="B71" s="211"/>
      <c r="C71" s="212"/>
      <c r="D71" s="85"/>
      <c r="E71" s="211"/>
      <c r="F71" s="221"/>
      <c r="G71" s="328"/>
      <c r="H71" s="215"/>
      <c r="I71" s="215"/>
      <c r="J71" s="215"/>
      <c r="K71" s="202"/>
      <c r="L71" s="202"/>
      <c r="M71" s="215"/>
      <c r="N71" s="215"/>
      <c r="O71" s="215"/>
      <c r="P71" s="312"/>
      <c r="Q71" s="200"/>
      <c r="R71" s="200"/>
      <c r="S71" s="213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200"/>
      <c r="AG71" s="200"/>
      <c r="AH71" s="200"/>
      <c r="AI71" s="200"/>
      <c r="AJ71" s="200"/>
      <c r="AK71" s="200"/>
      <c r="AL71" s="200"/>
      <c r="AM71" s="200"/>
      <c r="AN71" s="89"/>
      <c r="AO71" s="200"/>
      <c r="AP71" s="218"/>
      <c r="AQ71" s="219"/>
      <c r="AR71" s="217"/>
      <c r="AS71" s="200"/>
      <c r="AT71" s="200"/>
      <c r="AU71" s="215"/>
      <c r="AV71" s="202"/>
      <c r="AW71" s="217"/>
      <c r="AX71" s="200"/>
    </row>
    <row r="72" spans="1:50" x14ac:dyDescent="0.25">
      <c r="A72" s="196" t="s">
        <v>164</v>
      </c>
      <c r="B72" s="211"/>
      <c r="C72" s="212"/>
      <c r="D72" s="85"/>
      <c r="E72" s="211"/>
      <c r="F72" s="221"/>
      <c r="G72" s="328"/>
      <c r="H72" s="215"/>
      <c r="I72" s="215"/>
      <c r="J72" s="215"/>
      <c r="K72" s="202"/>
      <c r="L72" s="202"/>
      <c r="M72" s="215"/>
      <c r="N72" s="215"/>
      <c r="O72" s="215"/>
      <c r="P72" s="312"/>
      <c r="Q72" s="200"/>
      <c r="R72" s="200"/>
      <c r="S72" s="213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200"/>
      <c r="AG72" s="200"/>
      <c r="AH72" s="200"/>
      <c r="AI72" s="200"/>
      <c r="AJ72" s="200"/>
      <c r="AK72" s="200"/>
      <c r="AL72" s="200"/>
      <c r="AM72" s="200"/>
      <c r="AN72" s="89"/>
      <c r="AO72" s="200"/>
      <c r="AP72" s="218"/>
      <c r="AQ72" s="219"/>
      <c r="AR72" s="217"/>
      <c r="AS72" s="200"/>
      <c r="AT72" s="200"/>
      <c r="AU72" s="215"/>
      <c r="AV72" s="202"/>
      <c r="AW72" s="217"/>
      <c r="AX72" s="200"/>
    </row>
    <row r="73" spans="1:50" x14ac:dyDescent="0.25">
      <c r="A73" s="93" t="s">
        <v>165</v>
      </c>
      <c r="B73" s="94"/>
      <c r="C73" s="95"/>
      <c r="D73" s="93"/>
      <c r="E73" s="94"/>
      <c r="F73" s="95"/>
      <c r="G73" s="329"/>
      <c r="H73" s="204"/>
      <c r="I73" s="204"/>
      <c r="J73" s="204"/>
      <c r="K73" s="205"/>
      <c r="L73" s="204"/>
      <c r="M73" s="206"/>
      <c r="N73" s="206"/>
      <c r="O73" s="206"/>
      <c r="P73" s="198"/>
      <c r="Q73" s="98"/>
      <c r="R73" s="99"/>
      <c r="S73" s="100"/>
      <c r="T73" s="100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2"/>
      <c r="AO73" s="101"/>
      <c r="AP73" s="103"/>
      <c r="AQ73" s="99"/>
      <c r="AR73" s="128"/>
      <c r="AS73" s="96"/>
      <c r="AT73" s="96"/>
      <c r="AU73" s="97"/>
      <c r="AV73" s="104"/>
      <c r="AW73" s="129"/>
      <c r="AX73" s="100"/>
    </row>
    <row r="74" spans="1:50" x14ac:dyDescent="0.25">
      <c r="A74" s="196" t="s">
        <v>166</v>
      </c>
      <c r="B74" s="211"/>
      <c r="C74" s="212"/>
      <c r="D74" s="85"/>
      <c r="E74" s="211"/>
      <c r="F74" s="221"/>
      <c r="G74" s="236"/>
      <c r="H74" s="203"/>
      <c r="I74" s="203"/>
      <c r="J74" s="203"/>
      <c r="K74" s="202"/>
      <c r="L74" s="202"/>
      <c r="M74" s="202"/>
      <c r="N74" s="202"/>
      <c r="O74" s="202"/>
      <c r="P74" s="312"/>
      <c r="Q74" s="200"/>
      <c r="R74" s="200"/>
      <c r="S74" s="213"/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0"/>
      <c r="AE74" s="200"/>
      <c r="AF74" s="200"/>
      <c r="AG74" s="200"/>
      <c r="AH74" s="200"/>
      <c r="AI74" s="200"/>
      <c r="AJ74" s="200"/>
      <c r="AK74" s="200"/>
      <c r="AL74" s="200"/>
      <c r="AM74" s="200"/>
      <c r="AN74" s="89"/>
      <c r="AO74" s="200"/>
      <c r="AP74" s="218"/>
      <c r="AQ74" s="219"/>
      <c r="AR74" s="217"/>
      <c r="AS74" s="200"/>
      <c r="AT74" s="200"/>
      <c r="AU74" s="215"/>
      <c r="AV74" s="202"/>
      <c r="AW74" s="217"/>
      <c r="AX74" s="200"/>
    </row>
    <row r="75" spans="1:50" x14ac:dyDescent="0.25">
      <c r="A75" s="196" t="s">
        <v>264</v>
      </c>
      <c r="B75" s="211"/>
      <c r="C75" s="212"/>
      <c r="D75" s="85"/>
      <c r="E75" s="211"/>
      <c r="F75" s="221"/>
      <c r="G75" s="328"/>
      <c r="H75" s="215"/>
      <c r="I75" s="215"/>
      <c r="J75" s="215"/>
      <c r="K75" s="202"/>
      <c r="L75" s="202"/>
      <c r="M75" s="215"/>
      <c r="N75" s="215"/>
      <c r="O75" s="215"/>
      <c r="P75" s="312"/>
      <c r="Q75" s="200"/>
      <c r="R75" s="200"/>
      <c r="S75" s="213"/>
      <c r="T75" s="200"/>
      <c r="U75" s="200"/>
      <c r="V75" s="200"/>
      <c r="W75" s="200"/>
      <c r="X75" s="200"/>
      <c r="Y75" s="200"/>
      <c r="Z75" s="200"/>
      <c r="AA75" s="200"/>
      <c r="AB75" s="200"/>
      <c r="AC75" s="200"/>
      <c r="AD75" s="200"/>
      <c r="AE75" s="200"/>
      <c r="AF75" s="200"/>
      <c r="AG75" s="200"/>
      <c r="AH75" s="200"/>
      <c r="AI75" s="200"/>
      <c r="AJ75" s="200"/>
      <c r="AK75" s="200"/>
      <c r="AL75" s="200"/>
      <c r="AM75" s="200"/>
      <c r="AN75" s="89"/>
      <c r="AO75" s="200"/>
      <c r="AP75" s="218"/>
      <c r="AQ75" s="219"/>
      <c r="AR75" s="217"/>
      <c r="AS75" s="200"/>
      <c r="AT75" s="200"/>
      <c r="AU75" s="215"/>
      <c r="AV75" s="202"/>
      <c r="AW75" s="217"/>
      <c r="AX75" s="200"/>
    </row>
  </sheetData>
  <sheetProtection selectLockedCells="1" selectUnlockedCells="1"/>
  <phoneticPr fontId="24" type="noConversion"/>
  <printOptions horizontalCentered="1" verticalCentered="1"/>
  <pageMargins left="0.31527777777777777" right="0.31527777777777777" top="1" bottom="1" header="0.51180555555555551" footer="0"/>
  <pageSetup paperSize="9" firstPageNumber="0" orientation="landscape" horizontalDpi="300" verticalDpi="300" r:id="rId1"/>
  <headerFooter alignWithMargins="0">
    <oddFooter>&amp;C&amp;A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X78"/>
  <sheetViews>
    <sheetView tabSelected="1" zoomScaleNormal="100" workbookViewId="0">
      <pane xSplit="1" ySplit="3" topLeftCell="B7" activePane="bottomRight" state="frozen"/>
      <selection pane="topRight" activeCell="B1" sqref="B1"/>
      <selection pane="bottomLeft" activeCell="A23" sqref="A23"/>
      <selection pane="bottomRight" activeCell="B18" sqref="B18"/>
    </sheetView>
  </sheetViews>
  <sheetFormatPr defaultColWidth="11.08984375" defaultRowHeight="12.5" x14ac:dyDescent="0.25"/>
  <cols>
    <col min="1" max="4" width="9.36328125" style="14" customWidth="1"/>
    <col min="5" max="5" width="9.36328125" style="15" customWidth="1"/>
    <col min="6" max="6" width="9.08984375" style="16" customWidth="1"/>
    <col min="7" max="7" width="15.54296875" style="17" customWidth="1"/>
    <col min="8" max="10" width="12" style="17" customWidth="1"/>
    <col min="11" max="11" width="7.08984375" style="14" customWidth="1"/>
    <col min="12" max="12" width="8.81640625" style="14" customWidth="1"/>
    <col min="13" max="15" width="12" style="14" customWidth="1"/>
    <col min="16" max="16" width="30.54296875" style="18" customWidth="1"/>
    <col min="17" max="20" width="6.54296875" style="19" customWidth="1"/>
    <col min="21" max="38" width="4.54296875" style="19" customWidth="1"/>
    <col min="39" max="39" width="8.54296875" style="19" customWidth="1"/>
    <col min="40" max="40" width="6.54296875" style="19" customWidth="1"/>
    <col min="41" max="42" width="30.54296875" style="19" customWidth="1"/>
    <col min="43" max="43" width="6.54296875" style="19" customWidth="1"/>
    <col min="44" max="46" width="12" style="19" customWidth="1"/>
    <col min="47" max="47" width="6.54296875" customWidth="1"/>
    <col min="48" max="48" width="30.54296875" style="14" customWidth="1"/>
    <col min="49" max="49" width="11.08984375" style="18" customWidth="1"/>
    <col min="50" max="50" width="6.54296875" style="19" customWidth="1"/>
    <col min="51" max="16384" width="11.08984375" style="18"/>
  </cols>
  <sheetData>
    <row r="1" spans="1:50" s="35" customFormat="1" ht="15" x14ac:dyDescent="0.4">
      <c r="A1" s="20" t="s">
        <v>42</v>
      </c>
      <c r="B1" s="169" t="s">
        <v>262</v>
      </c>
      <c r="C1" s="22" t="s">
        <v>43</v>
      </c>
      <c r="D1" s="23" t="s">
        <v>266</v>
      </c>
      <c r="E1" s="24" t="s">
        <v>44</v>
      </c>
      <c r="F1" s="25" t="s">
        <v>265</v>
      </c>
      <c r="G1" s="26" t="s">
        <v>45</v>
      </c>
      <c r="H1" s="121" t="s">
        <v>46</v>
      </c>
      <c r="I1" s="28"/>
      <c r="J1" s="27"/>
      <c r="K1" s="230"/>
      <c r="L1" s="226" t="s">
        <v>47</v>
      </c>
      <c r="M1" s="31">
        <v>633905.21799999999</v>
      </c>
      <c r="N1" s="31">
        <v>3049240.4240000001</v>
      </c>
      <c r="O1" s="31">
        <f>56.475-0.11</f>
        <v>56.365000000000002</v>
      </c>
      <c r="P1" s="122" t="s">
        <v>169</v>
      </c>
      <c r="Q1" s="123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V1" s="36"/>
      <c r="AX1" s="34"/>
    </row>
    <row r="2" spans="1:50" ht="15" x14ac:dyDescent="0.4">
      <c r="A2" s="37" t="s">
        <v>49</v>
      </c>
      <c r="B2" s="38" t="s">
        <v>50</v>
      </c>
      <c r="C2" s="39" t="s">
        <v>51</v>
      </c>
      <c r="D2" s="38" t="s">
        <v>52</v>
      </c>
      <c r="E2" s="40" t="s">
        <v>53</v>
      </c>
      <c r="F2" s="41" t="s">
        <v>54</v>
      </c>
      <c r="G2" s="42" t="s">
        <v>55</v>
      </c>
      <c r="H2" s="43" t="s">
        <v>1</v>
      </c>
      <c r="I2" s="44" t="s">
        <v>3</v>
      </c>
      <c r="J2" s="44" t="s">
        <v>5</v>
      </c>
      <c r="K2" s="231" t="s">
        <v>56</v>
      </c>
      <c r="L2" s="227" t="s">
        <v>57</v>
      </c>
      <c r="M2" s="46" t="s">
        <v>11</v>
      </c>
      <c r="N2" s="46" t="s">
        <v>58</v>
      </c>
      <c r="O2" s="46" t="s">
        <v>15</v>
      </c>
      <c r="P2" s="47" t="s">
        <v>59</v>
      </c>
      <c r="Q2" s="48" t="s">
        <v>60</v>
      </c>
      <c r="R2" s="49" t="s">
        <v>61</v>
      </c>
      <c r="S2" s="50" t="s">
        <v>22</v>
      </c>
      <c r="T2" s="51" t="s">
        <v>24</v>
      </c>
      <c r="U2" s="52"/>
      <c r="V2" s="53"/>
      <c r="W2" s="53"/>
      <c r="X2" s="53"/>
      <c r="Y2" s="53" t="s">
        <v>62</v>
      </c>
      <c r="Z2" s="53"/>
      <c r="AA2" s="53"/>
      <c r="AB2" s="53"/>
      <c r="AC2" s="54"/>
      <c r="AD2" s="53"/>
      <c r="AE2" s="53"/>
      <c r="AF2" s="53"/>
      <c r="AG2" s="53"/>
      <c r="AH2" s="53" t="s">
        <v>63</v>
      </c>
      <c r="AI2" s="53"/>
      <c r="AJ2" s="53"/>
      <c r="AK2" s="53"/>
      <c r="AL2" s="55"/>
      <c r="AM2" s="56" t="s">
        <v>64</v>
      </c>
      <c r="AN2" s="57" t="s">
        <v>65</v>
      </c>
      <c r="AO2" s="58" t="s">
        <v>66</v>
      </c>
      <c r="AP2" s="47" t="s">
        <v>67</v>
      </c>
      <c r="AQ2" s="59" t="s">
        <v>68</v>
      </c>
      <c r="AR2" s="60" t="s">
        <v>69</v>
      </c>
      <c r="AS2" s="61" t="s">
        <v>70</v>
      </c>
      <c r="AT2" s="61" t="s">
        <v>71</v>
      </c>
      <c r="AU2" s="52" t="s">
        <v>72</v>
      </c>
      <c r="AV2" s="47" t="s">
        <v>73</v>
      </c>
      <c r="AX2" s="51" t="s">
        <v>26</v>
      </c>
    </row>
    <row r="3" spans="1:50" x14ac:dyDescent="0.25">
      <c r="B3" s="62" t="s">
        <v>74</v>
      </c>
      <c r="C3" s="63" t="s">
        <v>75</v>
      </c>
      <c r="D3" s="64" t="s">
        <v>76</v>
      </c>
      <c r="E3" s="65" t="s">
        <v>77</v>
      </c>
      <c r="F3" s="65" t="s">
        <v>77</v>
      </c>
      <c r="G3" s="66"/>
      <c r="H3" s="67" t="s">
        <v>78</v>
      </c>
      <c r="I3" s="68" t="s">
        <v>79</v>
      </c>
      <c r="J3" s="69" t="s">
        <v>80</v>
      </c>
      <c r="K3" s="79"/>
      <c r="M3" s="72" t="s">
        <v>81</v>
      </c>
      <c r="N3" s="68" t="s">
        <v>82</v>
      </c>
      <c r="O3" s="69" t="s">
        <v>83</v>
      </c>
      <c r="P3" s="73"/>
      <c r="Q3" s="74" t="s">
        <v>84</v>
      </c>
      <c r="R3" s="75" t="s">
        <v>84</v>
      </c>
      <c r="S3" s="76" t="s">
        <v>85</v>
      </c>
      <c r="T3" s="76" t="s">
        <v>85</v>
      </c>
      <c r="U3" s="76" t="s">
        <v>86</v>
      </c>
      <c r="V3" s="76" t="s">
        <v>87</v>
      </c>
      <c r="W3" s="76" t="s">
        <v>88</v>
      </c>
      <c r="X3" s="76" t="s">
        <v>89</v>
      </c>
      <c r="Y3" s="76" t="s">
        <v>90</v>
      </c>
      <c r="Z3" s="76" t="s">
        <v>91</v>
      </c>
      <c r="AA3" s="76" t="s">
        <v>92</v>
      </c>
      <c r="AB3" s="76" t="s">
        <v>93</v>
      </c>
      <c r="AC3" s="77" t="s">
        <v>94</v>
      </c>
      <c r="AD3" s="75" t="s">
        <v>86</v>
      </c>
      <c r="AE3" s="76" t="s">
        <v>87</v>
      </c>
      <c r="AF3" s="76" t="s">
        <v>88</v>
      </c>
      <c r="AG3" s="76" t="s">
        <v>89</v>
      </c>
      <c r="AH3" s="76" t="s">
        <v>90</v>
      </c>
      <c r="AI3" s="76" t="s">
        <v>91</v>
      </c>
      <c r="AJ3" s="76" t="s">
        <v>92</v>
      </c>
      <c r="AK3" s="76" t="s">
        <v>93</v>
      </c>
      <c r="AL3" s="76" t="s">
        <v>94</v>
      </c>
      <c r="AM3" s="76" t="s">
        <v>95</v>
      </c>
      <c r="AN3" s="76" t="s">
        <v>96</v>
      </c>
      <c r="AO3" s="76"/>
      <c r="AP3" s="77"/>
      <c r="AQ3" s="75" t="s">
        <v>84</v>
      </c>
      <c r="AR3" s="78" t="s">
        <v>78</v>
      </c>
      <c r="AS3" s="68" t="s">
        <v>79</v>
      </c>
      <c r="AT3" s="69" t="s">
        <v>80</v>
      </c>
      <c r="AV3" s="79"/>
      <c r="AX3" s="133"/>
    </row>
    <row r="4" spans="1:50" x14ac:dyDescent="0.25">
      <c r="A4" s="70"/>
      <c r="B4" s="70"/>
      <c r="C4" s="70"/>
      <c r="D4" s="70"/>
      <c r="E4" s="62"/>
      <c r="G4" s="81"/>
      <c r="H4" s="75"/>
      <c r="I4" s="76"/>
      <c r="J4" s="75"/>
      <c r="K4" s="79"/>
      <c r="L4" s="19"/>
      <c r="M4" s="71"/>
      <c r="N4" s="71"/>
      <c r="O4" s="71"/>
      <c r="P4" s="73"/>
      <c r="Q4" s="74"/>
      <c r="R4" s="75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5"/>
      <c r="AR4" s="84"/>
      <c r="AS4" s="82"/>
      <c r="AT4" s="82"/>
      <c r="AV4" s="79"/>
      <c r="AX4" s="76"/>
    </row>
    <row r="5" spans="1:50" x14ac:dyDescent="0.25">
      <c r="A5" s="134" t="s">
        <v>170</v>
      </c>
      <c r="B5" s="135"/>
      <c r="C5" s="135"/>
      <c r="D5" s="135"/>
      <c r="E5" s="136"/>
      <c r="F5" s="137"/>
      <c r="G5" s="138"/>
      <c r="H5" s="139"/>
      <c r="I5" s="140"/>
      <c r="J5" s="140"/>
      <c r="K5" s="232"/>
      <c r="L5" s="228"/>
      <c r="M5" s="142"/>
      <c r="N5" s="142"/>
      <c r="O5" s="142"/>
      <c r="P5" s="347"/>
      <c r="Q5" s="139"/>
      <c r="R5" s="139"/>
      <c r="S5" s="143"/>
      <c r="T5" s="143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4"/>
      <c r="AO5" s="145"/>
      <c r="AP5" s="146"/>
      <c r="AQ5" s="139"/>
      <c r="AR5" s="141"/>
      <c r="AS5" s="141"/>
      <c r="AT5" s="141"/>
      <c r="AU5" s="135"/>
      <c r="AV5" s="147"/>
      <c r="AX5" s="143"/>
    </row>
    <row r="6" spans="1:50" x14ac:dyDescent="0.25">
      <c r="A6" s="148" t="s">
        <v>171</v>
      </c>
      <c r="B6" s="105"/>
      <c r="C6" s="105"/>
      <c r="D6" s="105"/>
      <c r="E6" s="149"/>
      <c r="F6" s="150"/>
      <c r="G6" s="108"/>
      <c r="H6" s="110"/>
      <c r="I6" s="110"/>
      <c r="J6" s="110"/>
      <c r="K6" s="233"/>
      <c r="L6" s="229"/>
      <c r="M6" s="357"/>
      <c r="N6" s="357"/>
      <c r="O6" s="356"/>
      <c r="P6" s="348"/>
      <c r="Q6" s="109"/>
      <c r="R6" s="109"/>
      <c r="S6" s="114"/>
      <c r="T6" s="114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5"/>
      <c r="AO6" s="151"/>
      <c r="AP6" s="117"/>
      <c r="AQ6" s="109"/>
      <c r="AR6" s="111"/>
      <c r="AS6" s="111"/>
      <c r="AT6" s="111"/>
      <c r="AU6" s="105"/>
      <c r="AV6" s="118"/>
      <c r="AX6" s="114"/>
    </row>
    <row r="7" spans="1:50" x14ac:dyDescent="0.25">
      <c r="A7" s="152" t="s">
        <v>172</v>
      </c>
      <c r="B7" s="85"/>
      <c r="C7" s="85"/>
      <c r="D7" s="85"/>
      <c r="E7" s="86"/>
      <c r="G7" s="87"/>
      <c r="H7" s="344"/>
      <c r="I7" s="344"/>
      <c r="J7" s="344"/>
      <c r="K7" s="92"/>
      <c r="L7" s="19"/>
      <c r="M7" s="358"/>
      <c r="N7" s="358"/>
      <c r="O7"/>
      <c r="P7" s="349"/>
      <c r="Q7" s="75"/>
      <c r="R7" s="75"/>
      <c r="S7" s="88"/>
      <c r="T7" s="80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89"/>
      <c r="AO7"/>
      <c r="AP7" s="77"/>
      <c r="AQ7" s="75"/>
      <c r="AR7" s="83"/>
      <c r="AS7" s="83"/>
      <c r="AT7" s="83"/>
      <c r="AU7" s="70"/>
      <c r="AV7" s="92"/>
      <c r="AX7" s="80"/>
    </row>
    <row r="8" spans="1:50" x14ac:dyDescent="0.25">
      <c r="A8" s="148" t="s">
        <v>173</v>
      </c>
      <c r="B8" s="105"/>
      <c r="C8" s="105"/>
      <c r="D8" s="105"/>
      <c r="E8" s="106"/>
      <c r="F8" s="107"/>
      <c r="G8" s="108"/>
      <c r="H8" s="110"/>
      <c r="I8" s="110"/>
      <c r="J8" s="110"/>
      <c r="K8" s="233"/>
      <c r="L8" s="229"/>
      <c r="M8" s="357"/>
      <c r="N8" s="357"/>
      <c r="O8" s="356"/>
      <c r="P8" s="348"/>
      <c r="Q8" s="109"/>
      <c r="R8" s="109"/>
      <c r="S8" s="114"/>
      <c r="T8" s="114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20"/>
      <c r="AO8" s="151"/>
      <c r="AP8" s="117"/>
      <c r="AQ8" s="109"/>
      <c r="AR8" s="111"/>
      <c r="AS8" s="111"/>
      <c r="AT8" s="111"/>
      <c r="AU8" s="105"/>
      <c r="AV8" s="118"/>
      <c r="AX8" s="114"/>
    </row>
    <row r="9" spans="1:50" x14ac:dyDescent="0.25">
      <c r="A9" s="152" t="s">
        <v>174</v>
      </c>
      <c r="B9" s="85"/>
      <c r="C9" s="85"/>
      <c r="D9" s="85"/>
      <c r="E9" s="86"/>
      <c r="G9" s="87"/>
      <c r="H9" s="344"/>
      <c r="I9" s="344"/>
      <c r="J9" s="344"/>
      <c r="K9" s="79"/>
      <c r="L9" s="19"/>
      <c r="M9" s="358"/>
      <c r="N9" s="358"/>
      <c r="O9"/>
      <c r="P9" s="349"/>
      <c r="Q9" s="75"/>
      <c r="R9" s="75"/>
      <c r="S9" s="88"/>
      <c r="T9" s="80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89"/>
      <c r="AO9"/>
      <c r="AP9" s="77"/>
      <c r="AQ9" s="75"/>
      <c r="AR9" s="83"/>
      <c r="AS9" s="83"/>
      <c r="AT9" s="83"/>
      <c r="AU9" s="70"/>
      <c r="AV9" s="92"/>
      <c r="AX9" s="80"/>
    </row>
    <row r="10" spans="1:50" x14ac:dyDescent="0.25">
      <c r="A10" s="148" t="s">
        <v>175</v>
      </c>
      <c r="B10" s="105"/>
      <c r="C10" s="105"/>
      <c r="D10" s="105"/>
      <c r="E10" s="106"/>
      <c r="F10" s="107"/>
      <c r="G10" s="108"/>
      <c r="H10" s="110"/>
      <c r="I10" s="110"/>
      <c r="J10" s="110"/>
      <c r="K10" s="233"/>
      <c r="L10" s="229"/>
      <c r="M10" s="357"/>
      <c r="N10" s="357"/>
      <c r="O10" s="356"/>
      <c r="P10" s="348"/>
      <c r="Q10" s="109"/>
      <c r="R10" s="109"/>
      <c r="S10" s="114"/>
      <c r="T10" s="114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01"/>
      <c r="AN10" s="120"/>
      <c r="AO10" s="151"/>
      <c r="AP10" s="117"/>
      <c r="AQ10" s="109"/>
      <c r="AR10" s="111"/>
      <c r="AS10" s="111"/>
      <c r="AT10" s="111"/>
      <c r="AU10" s="105"/>
      <c r="AV10" s="118"/>
      <c r="AX10" s="114"/>
    </row>
    <row r="11" spans="1:50" x14ac:dyDescent="0.25">
      <c r="A11" s="152" t="s">
        <v>176</v>
      </c>
      <c r="B11" s="386">
        <v>44990</v>
      </c>
      <c r="C11" s="85" t="s">
        <v>291</v>
      </c>
      <c r="D11" s="85" t="s">
        <v>263</v>
      </c>
      <c r="E11" s="86"/>
      <c r="G11" s="275" t="s">
        <v>284</v>
      </c>
      <c r="H11" s="344">
        <v>635171.46299999999</v>
      </c>
      <c r="I11" s="344">
        <v>3048635.5159999998</v>
      </c>
      <c r="J11" s="344">
        <v>151.553</v>
      </c>
      <c r="K11" s="92" t="s">
        <v>273</v>
      </c>
      <c r="L11" s="19">
        <v>0</v>
      </c>
      <c r="M11" s="358">
        <v>633905.23300000001</v>
      </c>
      <c r="N11" s="358">
        <v>3049240.4479999999</v>
      </c>
      <c r="O11">
        <v>56.39</v>
      </c>
      <c r="P11" s="349" t="s">
        <v>292</v>
      </c>
      <c r="Q11" s="75">
        <v>2.77</v>
      </c>
      <c r="R11" s="75">
        <v>2</v>
      </c>
      <c r="S11" s="361">
        <v>90</v>
      </c>
      <c r="T11" s="80"/>
      <c r="U11" s="76">
        <v>7.0000000000000007E-2</v>
      </c>
      <c r="V11" s="76">
        <v>7.0000000000000007E-2</v>
      </c>
      <c r="W11" s="76">
        <v>7.0000000000000007E-2</v>
      </c>
      <c r="X11" s="76">
        <v>7.0000000000000007E-2</v>
      </c>
      <c r="Y11" s="76">
        <v>0.06</v>
      </c>
      <c r="Z11" s="76">
        <v>7.0000000000000007E-2</v>
      </c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>
        <f>AVERAGE(U11:AC11)</f>
        <v>6.8333333333333343E-2</v>
      </c>
      <c r="AN11" s="362">
        <v>3.67</v>
      </c>
      <c r="AO11" s="277" t="s">
        <v>285</v>
      </c>
      <c r="AP11" s="77"/>
      <c r="AQ11" s="75">
        <f>AN11-(AN11-Q11)*(SIN((S11+AX11)*PI()/180))/(COS(AX11*PI()/180))</f>
        <v>2.77</v>
      </c>
      <c r="AR11" s="83">
        <f>H11+($M$1-M11)-(AN11-Q11)*(COS(S11*PI()/180))*(SIN((T11+13+2.3)*PI()/180))</f>
        <v>635171.44799999997</v>
      </c>
      <c r="AS11" s="83">
        <f>I11+($N$1-N11)-(AN11-Q11)*(COS(S11*PI()/180))*(COS((T11+13+2.3)*PI()/180))</f>
        <v>3048635.4920000001</v>
      </c>
      <c r="AT11" s="83">
        <f>J11+($O$1-O11)-R11+AN11-(AN11-Q11)*(SIN(S11*PI()/180))-L11</f>
        <v>152.29799999999997</v>
      </c>
      <c r="AU11" s="70"/>
      <c r="AV11" s="92"/>
      <c r="AX11" s="80"/>
    </row>
    <row r="12" spans="1:50" x14ac:dyDescent="0.25">
      <c r="A12" s="148" t="s">
        <v>177</v>
      </c>
      <c r="B12" s="105"/>
      <c r="C12" s="105"/>
      <c r="D12" s="105"/>
      <c r="E12" s="106"/>
      <c r="F12" s="107"/>
      <c r="G12" s="108"/>
      <c r="H12" s="110"/>
      <c r="I12" s="110"/>
      <c r="J12" s="110"/>
      <c r="K12" s="233"/>
      <c r="L12" s="229"/>
      <c r="M12" s="357"/>
      <c r="N12" s="357"/>
      <c r="O12" s="356"/>
      <c r="P12" s="348"/>
      <c r="Q12" s="109"/>
      <c r="R12" s="109"/>
      <c r="S12" s="114"/>
      <c r="T12" s="114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5"/>
      <c r="AO12" s="151"/>
      <c r="AP12" s="117"/>
      <c r="AQ12" s="109"/>
      <c r="AR12" s="111"/>
      <c r="AS12" s="111"/>
      <c r="AT12" s="111"/>
      <c r="AU12" s="105"/>
      <c r="AV12" s="118"/>
      <c r="AX12" s="114"/>
    </row>
    <row r="13" spans="1:50" x14ac:dyDescent="0.25">
      <c r="A13" s="148" t="s">
        <v>178</v>
      </c>
      <c r="B13" s="105"/>
      <c r="C13" s="105"/>
      <c r="D13" s="105"/>
      <c r="E13" s="106"/>
      <c r="F13" s="107"/>
      <c r="G13" s="108"/>
      <c r="H13" s="110"/>
      <c r="I13" s="110"/>
      <c r="J13" s="110"/>
      <c r="K13" s="233"/>
      <c r="L13" s="229"/>
      <c r="M13" s="357"/>
      <c r="N13" s="357"/>
      <c r="O13" s="356"/>
      <c r="P13" s="348"/>
      <c r="Q13" s="109"/>
      <c r="R13" s="109"/>
      <c r="S13" s="114"/>
      <c r="T13" s="114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5"/>
      <c r="AO13" s="151"/>
      <c r="AP13" s="117"/>
      <c r="AQ13" s="109"/>
      <c r="AR13" s="111"/>
      <c r="AS13" s="111"/>
      <c r="AT13" s="111"/>
      <c r="AU13" s="105"/>
      <c r="AV13" s="118"/>
      <c r="AX13" s="114"/>
    </row>
    <row r="14" spans="1:50" x14ac:dyDescent="0.25">
      <c r="A14" s="148" t="s">
        <v>179</v>
      </c>
      <c r="B14" s="105"/>
      <c r="C14" s="105"/>
      <c r="D14" s="105"/>
      <c r="E14" s="106"/>
      <c r="F14" s="107"/>
      <c r="G14" s="108"/>
      <c r="H14" s="110"/>
      <c r="I14" s="110"/>
      <c r="J14" s="110"/>
      <c r="K14" s="233"/>
      <c r="L14" s="229"/>
      <c r="M14" s="357"/>
      <c r="N14" s="357"/>
      <c r="O14" s="356"/>
      <c r="P14" s="348"/>
      <c r="Q14" s="109"/>
      <c r="R14" s="109"/>
      <c r="S14" s="114"/>
      <c r="T14" s="114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5"/>
      <c r="AO14" s="151"/>
      <c r="AP14" s="117"/>
      <c r="AQ14" s="109"/>
      <c r="AR14" s="111"/>
      <c r="AS14" s="111"/>
      <c r="AT14" s="111"/>
      <c r="AU14" s="105"/>
      <c r="AV14" s="118"/>
      <c r="AX14" s="114"/>
    </row>
    <row r="15" spans="1:50" x14ac:dyDescent="0.25">
      <c r="A15" s="148" t="s">
        <v>180</v>
      </c>
      <c r="B15" s="105"/>
      <c r="C15" s="105"/>
      <c r="D15" s="105"/>
      <c r="E15" s="106"/>
      <c r="F15" s="107"/>
      <c r="G15" s="108"/>
      <c r="H15" s="110"/>
      <c r="I15" s="110"/>
      <c r="J15" s="110"/>
      <c r="K15" s="233"/>
      <c r="L15" s="229"/>
      <c r="M15" s="357"/>
      <c r="N15" s="357"/>
      <c r="O15" s="356"/>
      <c r="P15" s="348"/>
      <c r="Q15" s="109"/>
      <c r="R15" s="109"/>
      <c r="S15" s="114"/>
      <c r="T15" s="114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5"/>
      <c r="AO15" s="151"/>
      <c r="AP15" s="117"/>
      <c r="AQ15" s="109"/>
      <c r="AR15" s="111"/>
      <c r="AS15" s="111"/>
      <c r="AT15" s="111"/>
      <c r="AU15" s="105"/>
      <c r="AV15" s="118"/>
      <c r="AX15" s="114"/>
    </row>
    <row r="16" spans="1:50" x14ac:dyDescent="0.25">
      <c r="A16" s="148" t="s">
        <v>181</v>
      </c>
      <c r="B16" s="105"/>
      <c r="C16" s="105"/>
      <c r="D16" s="105"/>
      <c r="E16" s="106"/>
      <c r="F16" s="107"/>
      <c r="G16" s="108"/>
      <c r="H16" s="110"/>
      <c r="I16" s="110"/>
      <c r="J16" s="110"/>
      <c r="K16" s="233"/>
      <c r="L16" s="229"/>
      <c r="M16" s="357"/>
      <c r="N16" s="357"/>
      <c r="O16" s="356"/>
      <c r="P16" s="348"/>
      <c r="Q16" s="109"/>
      <c r="R16" s="109"/>
      <c r="S16" s="114"/>
      <c r="T16" s="114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5"/>
      <c r="AO16" s="151"/>
      <c r="AP16" s="117"/>
      <c r="AQ16" s="109"/>
      <c r="AR16" s="111"/>
      <c r="AS16" s="111"/>
      <c r="AT16" s="111"/>
      <c r="AU16" s="105"/>
      <c r="AV16" s="118"/>
      <c r="AX16" s="114"/>
    </row>
    <row r="17" spans="1:50" x14ac:dyDescent="0.25">
      <c r="A17" s="152" t="s">
        <v>182</v>
      </c>
      <c r="B17" s="85"/>
      <c r="C17" s="85"/>
      <c r="D17" s="85"/>
      <c r="E17" s="86"/>
      <c r="G17" s="87"/>
      <c r="H17" s="344"/>
      <c r="I17" s="344"/>
      <c r="J17" s="344"/>
      <c r="K17" s="79"/>
      <c r="L17" s="19"/>
      <c r="M17" s="358"/>
      <c r="N17" s="358"/>
      <c r="O17"/>
      <c r="P17" s="349"/>
      <c r="Q17" s="75"/>
      <c r="R17" s="75"/>
      <c r="S17" s="88"/>
      <c r="T17" s="80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153"/>
      <c r="AO17"/>
      <c r="AP17" s="77"/>
      <c r="AQ17" s="75"/>
      <c r="AR17" s="83"/>
      <c r="AS17" s="83"/>
      <c r="AT17" s="83"/>
      <c r="AU17" s="70"/>
      <c r="AV17" s="92"/>
      <c r="AX17" s="80"/>
    </row>
    <row r="18" spans="1:50" x14ac:dyDescent="0.25">
      <c r="A18" s="152" t="s">
        <v>183</v>
      </c>
      <c r="B18" s="386">
        <v>44990</v>
      </c>
      <c r="C18" s="85" t="s">
        <v>290</v>
      </c>
      <c r="D18" s="85" t="s">
        <v>263</v>
      </c>
      <c r="E18" s="86"/>
      <c r="G18" s="275" t="s">
        <v>284</v>
      </c>
      <c r="H18" s="344">
        <v>635950.77899999998</v>
      </c>
      <c r="I18" s="344">
        <v>3049413.02</v>
      </c>
      <c r="J18" s="344">
        <v>213.80600000000001</v>
      </c>
      <c r="K18" s="92" t="s">
        <v>273</v>
      </c>
      <c r="L18" s="19">
        <v>0</v>
      </c>
      <c r="M18" s="358">
        <v>633905.23300000001</v>
      </c>
      <c r="N18" s="358">
        <v>3049240.4479999999</v>
      </c>
      <c r="O18">
        <v>56.39</v>
      </c>
      <c r="P18" s="349" t="s">
        <v>283</v>
      </c>
      <c r="Q18" s="75">
        <v>2.62</v>
      </c>
      <c r="R18" s="75">
        <v>2</v>
      </c>
      <c r="S18" s="361">
        <v>90</v>
      </c>
      <c r="T18" s="80"/>
      <c r="U18" s="76">
        <v>0.2</v>
      </c>
      <c r="V18" s="76">
        <v>0.16</v>
      </c>
      <c r="W18" s="76">
        <v>0.18</v>
      </c>
      <c r="X18" s="76">
        <v>0.14000000000000001</v>
      </c>
      <c r="Y18" s="76">
        <v>0.16</v>
      </c>
      <c r="Z18" s="76">
        <v>0.17</v>
      </c>
      <c r="AA18" s="76">
        <v>0.16</v>
      </c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>
        <f t="shared" ref="AM18" si="0">AVERAGE(U18:AC18)</f>
        <v>0.16714285714285712</v>
      </c>
      <c r="AN18" s="272">
        <v>3.67</v>
      </c>
      <c r="AO18" s="277" t="s">
        <v>285</v>
      </c>
      <c r="AP18" s="77"/>
      <c r="AQ18" s="75">
        <f>AN18-(AN18-Q18)*(SIN((S18+AX18)*PI()/180))/(COS(AX18*PI()/180))</f>
        <v>2.62</v>
      </c>
      <c r="AR18" s="83">
        <f>H18+($M$1-M18)-(AN18-Q18)*(COS(S18*PI()/180))*(SIN((T18+13+2.3)*PI()/180))</f>
        <v>635950.76399999997</v>
      </c>
      <c r="AS18" s="83">
        <f>I18+($N$1-N18)-(AN18-Q18)*(COS(S18*PI()/180))*(COS((T18+13+2.3)*PI()/180))</f>
        <v>3049412.9960000003</v>
      </c>
      <c r="AT18" s="83">
        <f>J18+($O$1-O18)-R18+AN18-(AN18-Q18)*(SIN(S18*PI()/180))-L18</f>
        <v>214.40099999999998</v>
      </c>
      <c r="AU18" s="70"/>
      <c r="AV18" s="92"/>
      <c r="AX18" s="80">
        <v>15</v>
      </c>
    </row>
    <row r="19" spans="1:50" x14ac:dyDescent="0.25">
      <c r="A19" s="148" t="s">
        <v>184</v>
      </c>
      <c r="B19" s="105"/>
      <c r="C19" s="105"/>
      <c r="D19" s="105"/>
      <c r="E19" s="106"/>
      <c r="F19" s="107"/>
      <c r="G19" s="108"/>
      <c r="H19" s="110"/>
      <c r="I19" s="110"/>
      <c r="J19" s="110"/>
      <c r="K19" s="233"/>
      <c r="L19" s="229"/>
      <c r="M19" s="357"/>
      <c r="N19" s="357"/>
      <c r="O19" s="356"/>
      <c r="P19" s="348"/>
      <c r="Q19" s="109"/>
      <c r="R19" s="109"/>
      <c r="S19" s="114"/>
      <c r="T19" s="114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5"/>
      <c r="AO19" s="151"/>
      <c r="AP19" s="117"/>
      <c r="AQ19" s="109"/>
      <c r="AR19" s="111"/>
      <c r="AS19" s="111"/>
      <c r="AT19" s="111"/>
      <c r="AU19" s="105"/>
      <c r="AV19" s="118"/>
      <c r="AX19" s="114"/>
    </row>
    <row r="20" spans="1:50" x14ac:dyDescent="0.25">
      <c r="A20" s="148" t="s">
        <v>185</v>
      </c>
      <c r="B20" s="105"/>
      <c r="C20" s="105"/>
      <c r="D20" s="105"/>
      <c r="E20" s="106"/>
      <c r="F20" s="107"/>
      <c r="G20" s="108"/>
      <c r="H20" s="110"/>
      <c r="I20" s="110"/>
      <c r="J20" s="110"/>
      <c r="K20" s="233"/>
      <c r="L20" s="229"/>
      <c r="M20" s="357"/>
      <c r="N20" s="357"/>
      <c r="O20" s="356"/>
      <c r="P20" s="348"/>
      <c r="Q20" s="109"/>
      <c r="R20" s="109"/>
      <c r="S20" s="114"/>
      <c r="T20" s="114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5"/>
      <c r="AO20" s="151"/>
      <c r="AP20" s="117"/>
      <c r="AQ20" s="109"/>
      <c r="AR20" s="111"/>
      <c r="AS20" s="111"/>
      <c r="AT20" s="111"/>
      <c r="AU20" s="105"/>
      <c r="AV20" s="118"/>
      <c r="AX20" s="114"/>
    </row>
    <row r="21" spans="1:50" x14ac:dyDescent="0.25">
      <c r="A21" s="148" t="s">
        <v>186</v>
      </c>
      <c r="B21" s="105"/>
      <c r="C21" s="105"/>
      <c r="D21" s="105"/>
      <c r="E21" s="106"/>
      <c r="F21" s="107"/>
      <c r="G21" s="108"/>
      <c r="H21" s="110"/>
      <c r="I21" s="110"/>
      <c r="J21" s="110"/>
      <c r="K21" s="233"/>
      <c r="L21" s="229"/>
      <c r="M21" s="357"/>
      <c r="N21" s="357"/>
      <c r="O21" s="356"/>
      <c r="P21" s="348"/>
      <c r="Q21" s="109"/>
      <c r="R21" s="109"/>
      <c r="S21" s="114"/>
      <c r="T21" s="114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5"/>
      <c r="AO21" s="151"/>
      <c r="AP21" s="117"/>
      <c r="AQ21" s="109"/>
      <c r="AR21" s="111"/>
      <c r="AS21" s="111"/>
      <c r="AT21" s="111"/>
      <c r="AU21" s="105"/>
      <c r="AV21" s="118"/>
      <c r="AX21" s="114"/>
    </row>
    <row r="22" spans="1:50" x14ac:dyDescent="0.25">
      <c r="A22" s="148" t="s">
        <v>187</v>
      </c>
      <c r="B22" s="105"/>
      <c r="C22" s="105"/>
      <c r="D22" s="105"/>
      <c r="E22" s="106"/>
      <c r="F22" s="107"/>
      <c r="G22" s="108"/>
      <c r="H22" s="110"/>
      <c r="I22" s="110"/>
      <c r="J22" s="110"/>
      <c r="K22" s="233"/>
      <c r="L22" s="229"/>
      <c r="M22" s="357"/>
      <c r="N22" s="357"/>
      <c r="O22" s="356"/>
      <c r="P22" s="348"/>
      <c r="Q22" s="109"/>
      <c r="R22" s="109"/>
      <c r="S22" s="114"/>
      <c r="T22" s="114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5"/>
      <c r="AO22" s="151"/>
      <c r="AP22" s="117"/>
      <c r="AQ22" s="109"/>
      <c r="AR22" s="111"/>
      <c r="AS22" s="111"/>
      <c r="AT22" s="111"/>
      <c r="AU22" s="105"/>
      <c r="AV22" s="118"/>
      <c r="AX22" s="114"/>
    </row>
    <row r="23" spans="1:50" x14ac:dyDescent="0.25">
      <c r="A23" s="148" t="s">
        <v>188</v>
      </c>
      <c r="B23" s="105"/>
      <c r="C23" s="105"/>
      <c r="D23" s="105"/>
      <c r="E23" s="106"/>
      <c r="F23" s="107"/>
      <c r="G23" s="108"/>
      <c r="H23" s="110"/>
      <c r="I23" s="110"/>
      <c r="J23" s="110"/>
      <c r="K23" s="233"/>
      <c r="L23" s="229"/>
      <c r="M23" s="357"/>
      <c r="N23" s="357"/>
      <c r="O23" s="356"/>
      <c r="P23" s="348"/>
      <c r="Q23" s="109"/>
      <c r="R23" s="109"/>
      <c r="S23" s="114"/>
      <c r="T23" s="114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5"/>
      <c r="AO23" s="151"/>
      <c r="AP23" s="117"/>
      <c r="AQ23" s="109"/>
      <c r="AR23" s="111"/>
      <c r="AS23" s="111"/>
      <c r="AT23" s="111"/>
      <c r="AU23" s="105"/>
      <c r="AV23" s="118"/>
      <c r="AX23" s="114"/>
    </row>
    <row r="24" spans="1:50" x14ac:dyDescent="0.25">
      <c r="A24" s="148" t="s">
        <v>189</v>
      </c>
      <c r="B24" s="105"/>
      <c r="C24" s="105"/>
      <c r="D24" s="105"/>
      <c r="E24" s="106"/>
      <c r="F24" s="107"/>
      <c r="G24" s="108"/>
      <c r="H24" s="110"/>
      <c r="I24" s="110"/>
      <c r="J24" s="110"/>
      <c r="K24" s="233"/>
      <c r="L24" s="229"/>
      <c r="M24" s="357"/>
      <c r="N24" s="357"/>
      <c r="O24" s="356"/>
      <c r="P24" s="348"/>
      <c r="Q24" s="109"/>
      <c r="R24" s="109"/>
      <c r="S24" s="114"/>
      <c r="T24" s="114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5"/>
      <c r="AO24" s="151"/>
      <c r="AP24" s="117"/>
      <c r="AQ24" s="109"/>
      <c r="AR24" s="111"/>
      <c r="AS24" s="111"/>
      <c r="AT24" s="111"/>
      <c r="AU24" s="105"/>
      <c r="AV24" s="118"/>
      <c r="AX24" s="114"/>
    </row>
    <row r="25" spans="1:50" x14ac:dyDescent="0.25">
      <c r="A25" s="148" t="s">
        <v>190</v>
      </c>
      <c r="B25" s="105"/>
      <c r="C25" s="105"/>
      <c r="D25" s="105"/>
      <c r="E25" s="106"/>
      <c r="F25" s="107"/>
      <c r="G25" s="108"/>
      <c r="H25" s="110"/>
      <c r="I25" s="110"/>
      <c r="J25" s="110"/>
      <c r="K25" s="233"/>
      <c r="L25" s="229"/>
      <c r="M25" s="357"/>
      <c r="N25" s="357"/>
      <c r="O25" s="356"/>
      <c r="P25" s="348"/>
      <c r="Q25" s="109"/>
      <c r="R25" s="109"/>
      <c r="S25" s="114"/>
      <c r="T25" s="114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5"/>
      <c r="AO25" s="151"/>
      <c r="AP25" s="117"/>
      <c r="AQ25" s="109"/>
      <c r="AR25" s="111"/>
      <c r="AS25" s="111"/>
      <c r="AT25" s="111"/>
      <c r="AU25" s="105"/>
      <c r="AV25" s="118"/>
      <c r="AX25" s="114"/>
    </row>
    <row r="26" spans="1:50" x14ac:dyDescent="0.25">
      <c r="A26" s="148" t="s">
        <v>191</v>
      </c>
      <c r="B26" s="105"/>
      <c r="C26" s="105"/>
      <c r="D26" s="105"/>
      <c r="E26" s="106"/>
      <c r="F26" s="107"/>
      <c r="G26" s="108"/>
      <c r="H26" s="110"/>
      <c r="I26" s="110"/>
      <c r="J26" s="110"/>
      <c r="K26" s="233"/>
      <c r="L26" s="229"/>
      <c r="M26" s="357"/>
      <c r="N26" s="357"/>
      <c r="O26" s="356"/>
      <c r="P26" s="348"/>
      <c r="Q26" s="109"/>
      <c r="R26" s="109"/>
      <c r="S26" s="114"/>
      <c r="T26" s="114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5"/>
      <c r="AO26" s="151"/>
      <c r="AP26" s="117"/>
      <c r="AQ26" s="109"/>
      <c r="AR26" s="111"/>
      <c r="AS26" s="111"/>
      <c r="AT26" s="111"/>
      <c r="AU26" s="105"/>
      <c r="AV26" s="118"/>
      <c r="AX26" s="114"/>
    </row>
    <row r="27" spans="1:50" x14ac:dyDescent="0.25">
      <c r="A27" s="148" t="s">
        <v>192</v>
      </c>
      <c r="B27" s="105"/>
      <c r="C27" s="105"/>
      <c r="D27" s="105"/>
      <c r="E27" s="106"/>
      <c r="F27" s="107"/>
      <c r="G27" s="108"/>
      <c r="H27" s="110"/>
      <c r="I27" s="110"/>
      <c r="J27" s="110"/>
      <c r="K27" s="233"/>
      <c r="L27" s="229"/>
      <c r="M27" s="357"/>
      <c r="N27" s="357"/>
      <c r="O27" s="356"/>
      <c r="P27" s="348"/>
      <c r="Q27" s="109"/>
      <c r="R27" s="109"/>
      <c r="S27" s="114"/>
      <c r="T27" s="114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5"/>
      <c r="AO27" s="151"/>
      <c r="AP27" s="117"/>
      <c r="AQ27" s="109"/>
      <c r="AR27" s="111"/>
      <c r="AS27" s="111"/>
      <c r="AT27" s="111"/>
      <c r="AU27" s="105"/>
      <c r="AV27" s="118"/>
      <c r="AX27" s="114"/>
    </row>
    <row r="28" spans="1:50" x14ac:dyDescent="0.25">
      <c r="A28" s="148" t="s">
        <v>193</v>
      </c>
      <c r="B28" s="105"/>
      <c r="C28" s="105"/>
      <c r="D28" s="105"/>
      <c r="E28" s="106"/>
      <c r="F28" s="107"/>
      <c r="G28" s="108"/>
      <c r="H28" s="110"/>
      <c r="I28" s="110"/>
      <c r="J28" s="110"/>
      <c r="K28" s="233"/>
      <c r="L28" s="229"/>
      <c r="M28" s="357"/>
      <c r="N28" s="357"/>
      <c r="O28" s="356"/>
      <c r="P28" s="348"/>
      <c r="Q28" s="109"/>
      <c r="R28" s="109"/>
      <c r="S28" s="114"/>
      <c r="T28" s="114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5"/>
      <c r="AO28" s="151"/>
      <c r="AP28" s="117"/>
      <c r="AQ28" s="109"/>
      <c r="AR28" s="111"/>
      <c r="AS28" s="111"/>
      <c r="AT28" s="111"/>
      <c r="AU28" s="105"/>
      <c r="AV28" s="118"/>
      <c r="AX28" s="114"/>
    </row>
    <row r="29" spans="1:50" x14ac:dyDescent="0.25">
      <c r="A29" s="148" t="s">
        <v>194</v>
      </c>
      <c r="B29" s="105"/>
      <c r="C29" s="105"/>
      <c r="D29" s="105"/>
      <c r="E29" s="106"/>
      <c r="F29" s="107"/>
      <c r="G29" s="108"/>
      <c r="H29" s="110"/>
      <c r="I29" s="110"/>
      <c r="J29" s="110"/>
      <c r="K29" s="233"/>
      <c r="L29" s="229"/>
      <c r="M29" s="357"/>
      <c r="N29" s="357"/>
      <c r="O29" s="356"/>
      <c r="P29" s="348"/>
      <c r="Q29" s="109"/>
      <c r="R29" s="109"/>
      <c r="S29" s="114"/>
      <c r="T29" s="114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5"/>
      <c r="AO29" s="151"/>
      <c r="AP29" s="117"/>
      <c r="AQ29" s="109"/>
      <c r="AR29" s="111"/>
      <c r="AS29" s="111"/>
      <c r="AT29" s="111"/>
      <c r="AU29" s="105"/>
      <c r="AV29" s="118"/>
      <c r="AX29" s="114"/>
    </row>
    <row r="30" spans="1:50" x14ac:dyDescent="0.25">
      <c r="A30" s="148" t="s">
        <v>195</v>
      </c>
      <c r="B30" s="105"/>
      <c r="C30" s="105"/>
      <c r="D30" s="105"/>
      <c r="E30" s="106"/>
      <c r="F30" s="107"/>
      <c r="G30" s="108"/>
      <c r="H30" s="110"/>
      <c r="I30" s="110"/>
      <c r="J30" s="110"/>
      <c r="K30" s="233"/>
      <c r="L30" s="229"/>
      <c r="M30" s="357"/>
      <c r="N30" s="357"/>
      <c r="O30" s="356"/>
      <c r="P30" s="348"/>
      <c r="Q30" s="109"/>
      <c r="R30" s="109"/>
      <c r="S30" s="114"/>
      <c r="T30" s="114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5"/>
      <c r="AO30" s="151"/>
      <c r="AP30" s="117"/>
      <c r="AQ30" s="109"/>
      <c r="AR30" s="111"/>
      <c r="AS30" s="111"/>
      <c r="AT30" s="111"/>
      <c r="AU30" s="105"/>
      <c r="AV30" s="118"/>
      <c r="AX30" s="114"/>
    </row>
    <row r="31" spans="1:50" x14ac:dyDescent="0.25">
      <c r="A31" s="148" t="s">
        <v>196</v>
      </c>
      <c r="B31" s="105"/>
      <c r="C31" s="105"/>
      <c r="D31" s="105"/>
      <c r="E31" s="106"/>
      <c r="F31" s="107"/>
      <c r="G31" s="108"/>
      <c r="H31" s="110"/>
      <c r="I31" s="110"/>
      <c r="J31" s="110"/>
      <c r="K31" s="233"/>
      <c r="L31" s="229"/>
      <c r="M31" s="357"/>
      <c r="N31" s="357"/>
      <c r="O31" s="356"/>
      <c r="P31" s="348"/>
      <c r="Q31" s="109"/>
      <c r="R31" s="109"/>
      <c r="S31" s="114"/>
      <c r="T31" s="114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5"/>
      <c r="AO31" s="151"/>
      <c r="AP31" s="117"/>
      <c r="AQ31" s="109"/>
      <c r="AR31" s="111"/>
      <c r="AS31" s="111"/>
      <c r="AT31" s="111"/>
      <c r="AU31" s="105"/>
      <c r="AV31" s="118"/>
      <c r="AX31" s="114"/>
    </row>
    <row r="32" spans="1:50" x14ac:dyDescent="0.25">
      <c r="A32" s="148" t="s">
        <v>197</v>
      </c>
      <c r="B32" s="105"/>
      <c r="C32" s="105"/>
      <c r="D32" s="105"/>
      <c r="E32" s="106"/>
      <c r="F32" s="107"/>
      <c r="G32" s="108"/>
      <c r="H32" s="110"/>
      <c r="I32" s="110"/>
      <c r="J32" s="110"/>
      <c r="K32" s="233"/>
      <c r="L32" s="229"/>
      <c r="M32" s="357"/>
      <c r="N32" s="357"/>
      <c r="O32" s="356"/>
      <c r="P32" s="348"/>
      <c r="Q32" s="109"/>
      <c r="R32" s="109"/>
      <c r="S32" s="114"/>
      <c r="T32" s="114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5"/>
      <c r="AO32" s="151"/>
      <c r="AP32" s="117"/>
      <c r="AQ32" s="109"/>
      <c r="AR32" s="111"/>
      <c r="AS32" s="111"/>
      <c r="AT32" s="111"/>
      <c r="AU32" s="105"/>
      <c r="AV32" s="118"/>
      <c r="AX32" s="114"/>
    </row>
    <row r="33" spans="1:50" x14ac:dyDescent="0.25">
      <c r="A33" s="148" t="s">
        <v>198</v>
      </c>
      <c r="B33" s="105"/>
      <c r="C33" s="105"/>
      <c r="D33" s="105"/>
      <c r="E33" s="106"/>
      <c r="F33" s="107"/>
      <c r="G33" s="108"/>
      <c r="H33" s="110"/>
      <c r="I33" s="110"/>
      <c r="J33" s="110"/>
      <c r="K33" s="233"/>
      <c r="L33" s="229"/>
      <c r="M33" s="357"/>
      <c r="N33" s="357"/>
      <c r="O33" s="356"/>
      <c r="P33" s="348"/>
      <c r="Q33" s="109"/>
      <c r="R33" s="109"/>
      <c r="S33" s="114"/>
      <c r="T33" s="114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5"/>
      <c r="AO33" s="151"/>
      <c r="AP33" s="117"/>
      <c r="AQ33" s="109"/>
      <c r="AR33" s="111"/>
      <c r="AS33" s="111"/>
      <c r="AT33" s="111"/>
      <c r="AU33" s="105"/>
      <c r="AV33" s="118"/>
      <c r="AX33" s="114"/>
    </row>
    <row r="34" spans="1:50" x14ac:dyDescent="0.25">
      <c r="A34" s="148" t="s">
        <v>199</v>
      </c>
      <c r="B34" s="105"/>
      <c r="C34" s="105"/>
      <c r="D34" s="105"/>
      <c r="E34" s="106"/>
      <c r="F34" s="107"/>
      <c r="G34" s="108"/>
      <c r="H34" s="110"/>
      <c r="I34" s="110"/>
      <c r="J34" s="110"/>
      <c r="K34" s="233"/>
      <c r="L34" s="229"/>
      <c r="M34" s="357"/>
      <c r="N34" s="357"/>
      <c r="O34" s="356"/>
      <c r="P34" s="348"/>
      <c r="Q34" s="109"/>
      <c r="R34" s="109"/>
      <c r="S34" s="114"/>
      <c r="T34" s="114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5"/>
      <c r="AO34" s="151"/>
      <c r="AP34" s="117"/>
      <c r="AQ34" s="109"/>
      <c r="AR34" s="111"/>
      <c r="AS34" s="111"/>
      <c r="AT34" s="111"/>
      <c r="AU34" s="105"/>
      <c r="AV34" s="118"/>
      <c r="AX34" s="114"/>
    </row>
    <row r="35" spans="1:50" x14ac:dyDescent="0.25">
      <c r="A35" s="148" t="s">
        <v>200</v>
      </c>
      <c r="B35" s="105"/>
      <c r="C35" s="105"/>
      <c r="D35" s="105"/>
      <c r="E35" s="106"/>
      <c r="F35" s="107"/>
      <c r="G35" s="108"/>
      <c r="H35" s="110"/>
      <c r="I35" s="110"/>
      <c r="J35" s="110"/>
      <c r="K35" s="233"/>
      <c r="L35" s="229"/>
      <c r="M35" s="357"/>
      <c r="N35" s="357"/>
      <c r="O35" s="356"/>
      <c r="P35" s="348"/>
      <c r="Q35" s="109"/>
      <c r="R35" s="109"/>
      <c r="S35" s="114"/>
      <c r="T35" s="114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5"/>
      <c r="AO35" s="151"/>
      <c r="AP35" s="117"/>
      <c r="AQ35" s="109"/>
      <c r="AR35" s="111"/>
      <c r="AS35" s="111"/>
      <c r="AT35" s="111"/>
      <c r="AU35" s="105"/>
      <c r="AV35" s="118"/>
      <c r="AX35" s="114"/>
    </row>
    <row r="36" spans="1:50" x14ac:dyDescent="0.25">
      <c r="A36" s="148" t="s">
        <v>201</v>
      </c>
      <c r="B36" s="105"/>
      <c r="C36" s="105"/>
      <c r="D36" s="105"/>
      <c r="E36" s="106"/>
      <c r="F36" s="107"/>
      <c r="G36" s="108"/>
      <c r="H36" s="110"/>
      <c r="I36" s="110"/>
      <c r="J36" s="110"/>
      <c r="K36" s="233"/>
      <c r="L36" s="229"/>
      <c r="M36" s="357"/>
      <c r="N36" s="357"/>
      <c r="O36" s="356"/>
      <c r="P36" s="348"/>
      <c r="Q36" s="109"/>
      <c r="R36" s="109"/>
      <c r="S36" s="114"/>
      <c r="T36" s="114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5"/>
      <c r="AO36" s="151"/>
      <c r="AP36" s="117"/>
      <c r="AQ36" s="109"/>
      <c r="AR36" s="111"/>
      <c r="AS36" s="111"/>
      <c r="AT36" s="111"/>
      <c r="AU36" s="105"/>
      <c r="AV36" s="118"/>
      <c r="AX36" s="114"/>
    </row>
    <row r="37" spans="1:50" x14ac:dyDescent="0.25">
      <c r="A37" s="152" t="s">
        <v>202</v>
      </c>
      <c r="B37" s="85"/>
      <c r="C37" s="85"/>
      <c r="D37" s="85"/>
      <c r="E37" s="86"/>
      <c r="G37" s="87"/>
      <c r="H37" s="344"/>
      <c r="I37" s="344"/>
      <c r="J37" s="344"/>
      <c r="K37" s="92"/>
      <c r="L37" s="19"/>
      <c r="M37" s="358"/>
      <c r="N37" s="358"/>
      <c r="O37"/>
      <c r="P37" s="349"/>
      <c r="Q37" s="75"/>
      <c r="R37" s="75"/>
      <c r="S37" s="88"/>
      <c r="T37" s="80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153"/>
      <c r="AO37"/>
      <c r="AP37" s="77"/>
      <c r="AQ37" s="75"/>
      <c r="AR37" s="83"/>
      <c r="AS37" s="83"/>
      <c r="AT37" s="83"/>
      <c r="AU37" s="70"/>
      <c r="AV37" s="92"/>
      <c r="AX37" s="80"/>
    </row>
    <row r="38" spans="1:50" x14ac:dyDescent="0.25">
      <c r="A38" s="152" t="s">
        <v>203</v>
      </c>
      <c r="B38" s="85"/>
      <c r="C38" s="85"/>
      <c r="D38" s="85"/>
      <c r="E38" s="86"/>
      <c r="G38" s="87"/>
      <c r="H38" s="344"/>
      <c r="I38" s="344"/>
      <c r="J38" s="344"/>
      <c r="K38" s="79"/>
      <c r="L38" s="19"/>
      <c r="M38" s="358"/>
      <c r="N38" s="358"/>
      <c r="O38"/>
      <c r="P38" s="349"/>
      <c r="Q38" s="75"/>
      <c r="R38" s="75"/>
      <c r="S38" s="88"/>
      <c r="T38" s="80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153"/>
      <c r="AO38"/>
      <c r="AP38" s="77"/>
      <c r="AQ38" s="75"/>
      <c r="AR38" s="83"/>
      <c r="AS38" s="83"/>
      <c r="AT38" s="83"/>
      <c r="AU38" s="70"/>
      <c r="AV38" s="92"/>
      <c r="AX38" s="80"/>
    </row>
    <row r="39" spans="1:50" x14ac:dyDescent="0.25">
      <c r="A39" s="152" t="s">
        <v>204</v>
      </c>
      <c r="B39" s="85"/>
      <c r="C39" s="85"/>
      <c r="D39" s="85"/>
      <c r="E39" s="86"/>
      <c r="G39" s="87"/>
      <c r="H39" s="344"/>
      <c r="I39" s="344"/>
      <c r="J39" s="344"/>
      <c r="K39" s="79"/>
      <c r="L39" s="19"/>
      <c r="M39" s="358"/>
      <c r="N39" s="358"/>
      <c r="O39"/>
      <c r="P39" s="349"/>
      <c r="Q39" s="75"/>
      <c r="R39" s="75"/>
      <c r="S39" s="88"/>
      <c r="T39" s="80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89"/>
      <c r="AO39"/>
      <c r="AP39" s="77"/>
      <c r="AQ39" s="75"/>
      <c r="AR39" s="83"/>
      <c r="AS39" s="83"/>
      <c r="AT39" s="83"/>
      <c r="AU39" s="70"/>
      <c r="AV39" s="92"/>
      <c r="AX39" s="80"/>
    </row>
    <row r="40" spans="1:50" x14ac:dyDescent="0.25">
      <c r="A40" s="152" t="s">
        <v>205</v>
      </c>
      <c r="B40" s="85"/>
      <c r="C40" s="85"/>
      <c r="D40" s="85"/>
      <c r="E40" s="86"/>
      <c r="G40" s="87"/>
      <c r="H40" s="344"/>
      <c r="I40" s="344"/>
      <c r="J40" s="344"/>
      <c r="K40" s="92"/>
      <c r="L40" s="19"/>
      <c r="M40" s="358"/>
      <c r="N40" s="358"/>
      <c r="O40"/>
      <c r="P40" s="349"/>
      <c r="Q40" s="75"/>
      <c r="R40" s="75"/>
      <c r="S40" s="88"/>
      <c r="T40" s="80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153"/>
      <c r="AO40"/>
      <c r="AP40" s="77"/>
      <c r="AQ40" s="75"/>
      <c r="AR40" s="83"/>
      <c r="AS40" s="83"/>
      <c r="AT40" s="83"/>
      <c r="AU40" s="70"/>
      <c r="AV40" s="92"/>
      <c r="AX40" s="80"/>
    </row>
    <row r="41" spans="1:50" x14ac:dyDescent="0.25">
      <c r="A41" s="148" t="s">
        <v>206</v>
      </c>
      <c r="B41" s="105"/>
      <c r="C41" s="105"/>
      <c r="D41" s="105"/>
      <c r="E41" s="149"/>
      <c r="F41" s="107"/>
      <c r="G41" s="108"/>
      <c r="H41" s="110"/>
      <c r="I41" s="110"/>
      <c r="J41" s="110"/>
      <c r="K41" s="233"/>
      <c r="L41" s="229"/>
      <c r="M41" s="357"/>
      <c r="N41" s="357"/>
      <c r="O41" s="356"/>
      <c r="P41" s="348"/>
      <c r="Q41" s="109"/>
      <c r="R41" s="109"/>
      <c r="S41" s="114"/>
      <c r="T41" s="114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5"/>
      <c r="AO41" s="151"/>
      <c r="AP41" s="117"/>
      <c r="AQ41" s="109"/>
      <c r="AR41" s="111"/>
      <c r="AS41" s="111"/>
      <c r="AT41" s="111"/>
      <c r="AU41" s="105"/>
      <c r="AV41" s="118"/>
      <c r="AX41" s="114"/>
    </row>
    <row r="42" spans="1:50" x14ac:dyDescent="0.25">
      <c r="A42" s="152" t="s">
        <v>207</v>
      </c>
      <c r="B42" s="85"/>
      <c r="C42" s="85"/>
      <c r="D42" s="85"/>
      <c r="E42" s="86"/>
      <c r="G42" s="87"/>
      <c r="H42" s="344"/>
      <c r="I42" s="344"/>
      <c r="J42" s="344"/>
      <c r="K42" s="79"/>
      <c r="L42" s="19"/>
      <c r="M42" s="358"/>
      <c r="N42" s="358"/>
      <c r="O42"/>
      <c r="P42" s="349"/>
      <c r="Q42" s="75"/>
      <c r="R42" s="75"/>
      <c r="S42" s="88"/>
      <c r="T42" s="80"/>
      <c r="U42" s="76"/>
      <c r="V42" s="76"/>
      <c r="W42" s="76"/>
      <c r="X42" s="76"/>
      <c r="Y42" s="76"/>
      <c r="Z42" s="76"/>
      <c r="AA42" s="76"/>
      <c r="AB42" s="76"/>
      <c r="AC42" s="76"/>
      <c r="AE42" s="76"/>
      <c r="AF42" s="76"/>
      <c r="AG42" s="76"/>
      <c r="AH42" s="76"/>
      <c r="AI42" s="76"/>
      <c r="AJ42" s="76"/>
      <c r="AK42" s="76"/>
      <c r="AL42" s="76"/>
      <c r="AM42" s="76"/>
      <c r="AN42" s="89"/>
      <c r="AO42"/>
      <c r="AP42" s="77"/>
      <c r="AQ42" s="75"/>
      <c r="AR42" s="83"/>
      <c r="AS42" s="83"/>
      <c r="AT42" s="83"/>
      <c r="AU42" s="70"/>
      <c r="AV42" s="92"/>
      <c r="AX42" s="80"/>
    </row>
    <row r="43" spans="1:50" x14ac:dyDescent="0.25">
      <c r="A43" s="152" t="s">
        <v>208</v>
      </c>
      <c r="B43" s="85"/>
      <c r="C43" s="85"/>
      <c r="D43" s="85"/>
      <c r="E43" s="86"/>
      <c r="G43" s="275"/>
      <c r="H43" s="344"/>
      <c r="I43" s="344"/>
      <c r="J43" s="344"/>
      <c r="K43" s="92"/>
      <c r="L43" s="19"/>
      <c r="M43" s="358"/>
      <c r="N43" s="358"/>
      <c r="O43"/>
      <c r="P43" s="349"/>
      <c r="Q43" s="75"/>
      <c r="R43" s="75"/>
      <c r="S43" s="88"/>
      <c r="T43" s="80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153"/>
      <c r="AO43" s="277"/>
      <c r="AP43" s="77"/>
      <c r="AQ43" s="75"/>
      <c r="AR43" s="83"/>
      <c r="AS43" s="83"/>
      <c r="AT43" s="83"/>
      <c r="AU43" s="70"/>
      <c r="AV43" s="92"/>
      <c r="AX43" s="80"/>
    </row>
    <row r="44" spans="1:50" x14ac:dyDescent="0.25">
      <c r="A44" s="148" t="s">
        <v>209</v>
      </c>
      <c r="B44" s="105"/>
      <c r="C44" s="105"/>
      <c r="D44" s="105"/>
      <c r="E44" s="106"/>
      <c r="F44" s="107"/>
      <c r="G44" s="108"/>
      <c r="H44" s="110"/>
      <c r="I44" s="110"/>
      <c r="J44" s="110"/>
      <c r="K44" s="233"/>
      <c r="L44" s="229"/>
      <c r="M44" s="357"/>
      <c r="N44" s="357"/>
      <c r="O44" s="356"/>
      <c r="P44" s="348"/>
      <c r="Q44" s="109"/>
      <c r="R44" s="109"/>
      <c r="S44" s="114"/>
      <c r="T44" s="114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5"/>
      <c r="AO44" s="151"/>
      <c r="AP44" s="117"/>
      <c r="AQ44" s="109"/>
      <c r="AR44" s="111"/>
      <c r="AS44" s="111"/>
      <c r="AT44" s="111"/>
      <c r="AU44" s="105"/>
      <c r="AV44" s="118"/>
      <c r="AX44" s="114"/>
    </row>
    <row r="45" spans="1:50" x14ac:dyDescent="0.25">
      <c r="A45" s="148" t="s">
        <v>210</v>
      </c>
      <c r="B45" s="105"/>
      <c r="C45" s="105"/>
      <c r="D45" s="105"/>
      <c r="E45" s="106"/>
      <c r="F45" s="107"/>
      <c r="G45" s="108"/>
      <c r="H45" s="110"/>
      <c r="I45" s="110"/>
      <c r="J45" s="110"/>
      <c r="K45" s="233"/>
      <c r="L45" s="229"/>
      <c r="M45" s="357"/>
      <c r="N45" s="357"/>
      <c r="O45" s="356"/>
      <c r="P45" s="348"/>
      <c r="Q45" s="109"/>
      <c r="R45" s="109"/>
      <c r="S45" s="114"/>
      <c r="T45" s="114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5"/>
      <c r="AO45" s="151"/>
      <c r="AP45" s="117"/>
      <c r="AQ45" s="109"/>
      <c r="AR45" s="111"/>
      <c r="AS45" s="111"/>
      <c r="AT45" s="111"/>
      <c r="AU45" s="105"/>
      <c r="AV45" s="118"/>
      <c r="AX45" s="114"/>
    </row>
    <row r="46" spans="1:50" x14ac:dyDescent="0.25">
      <c r="A46" s="152" t="s">
        <v>211</v>
      </c>
      <c r="B46" s="85"/>
      <c r="C46" s="85"/>
      <c r="D46" s="85"/>
      <c r="E46" s="86"/>
      <c r="G46" s="87"/>
      <c r="H46" s="344"/>
      <c r="I46" s="344"/>
      <c r="J46" s="344"/>
      <c r="K46" s="79"/>
      <c r="L46" s="19"/>
      <c r="M46" s="358"/>
      <c r="N46" s="358"/>
      <c r="O46"/>
      <c r="P46" s="349"/>
      <c r="Q46" s="75"/>
      <c r="R46" s="75"/>
      <c r="S46" s="88"/>
      <c r="T46" s="80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89"/>
      <c r="AO46"/>
      <c r="AP46" s="77"/>
      <c r="AQ46" s="75"/>
      <c r="AR46" s="83"/>
      <c r="AS46" s="83"/>
      <c r="AT46" s="83"/>
      <c r="AU46" s="70"/>
      <c r="AV46" s="92"/>
      <c r="AX46" s="80"/>
    </row>
    <row r="47" spans="1:50" x14ac:dyDescent="0.25">
      <c r="A47" s="152" t="s">
        <v>212</v>
      </c>
      <c r="B47" s="85"/>
      <c r="C47" s="85"/>
      <c r="D47" s="85"/>
      <c r="E47" s="86"/>
      <c r="G47" s="87"/>
      <c r="H47" s="344"/>
      <c r="I47" s="344"/>
      <c r="J47" s="344"/>
      <c r="K47" s="92"/>
      <c r="L47" s="19"/>
      <c r="M47" s="358"/>
      <c r="N47" s="358"/>
      <c r="O47"/>
      <c r="P47" s="349"/>
      <c r="Q47" s="75"/>
      <c r="R47" s="75"/>
      <c r="S47" s="88"/>
      <c r="T47" s="80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89"/>
      <c r="AO47"/>
      <c r="AP47" s="77"/>
      <c r="AQ47" s="75"/>
      <c r="AR47" s="83"/>
      <c r="AS47" s="83"/>
      <c r="AT47" s="83"/>
      <c r="AU47" s="70"/>
      <c r="AV47" s="92"/>
      <c r="AX47" s="80"/>
    </row>
    <row r="48" spans="1:50" x14ac:dyDescent="0.25">
      <c r="A48" s="105" t="s">
        <v>213</v>
      </c>
      <c r="B48" s="105"/>
      <c r="C48" s="105"/>
      <c r="D48" s="105"/>
      <c r="E48" s="105"/>
      <c r="F48" s="105"/>
      <c r="G48" s="105"/>
      <c r="H48" s="110"/>
      <c r="I48" s="110"/>
      <c r="J48" s="110"/>
      <c r="K48" s="233"/>
      <c r="L48" s="229"/>
      <c r="M48" s="359"/>
      <c r="N48" s="359"/>
      <c r="O48" s="158"/>
      <c r="P48" s="350"/>
      <c r="Q48" s="246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57"/>
      <c r="AO48" s="156"/>
      <c r="AP48" s="105"/>
      <c r="AQ48" s="105"/>
      <c r="AR48" s="105"/>
      <c r="AS48" s="105"/>
      <c r="AT48" s="105"/>
      <c r="AU48" s="105"/>
      <c r="AV48" s="105"/>
      <c r="AX48" s="114"/>
    </row>
    <row r="49" spans="1:50" x14ac:dyDescent="0.25">
      <c r="A49" s="105" t="s">
        <v>214</v>
      </c>
      <c r="B49" s="105"/>
      <c r="C49" s="105"/>
      <c r="D49" s="105"/>
      <c r="E49" s="105"/>
      <c r="F49" s="105"/>
      <c r="G49" s="105"/>
      <c r="H49" s="110"/>
      <c r="I49" s="110"/>
      <c r="J49" s="110"/>
      <c r="K49" s="233"/>
      <c r="L49" s="229"/>
      <c r="M49" s="359"/>
      <c r="N49" s="359"/>
      <c r="O49" s="158"/>
      <c r="P49" s="350"/>
      <c r="Q49" s="246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57"/>
      <c r="AO49" s="156"/>
      <c r="AP49" s="105"/>
      <c r="AQ49" s="105"/>
      <c r="AR49" s="105"/>
      <c r="AS49" s="105"/>
      <c r="AT49" s="105"/>
      <c r="AU49" s="105"/>
      <c r="AV49" s="105"/>
      <c r="AX49" s="114"/>
    </row>
    <row r="50" spans="1:50" x14ac:dyDescent="0.25">
      <c r="A50" s="152" t="s">
        <v>215</v>
      </c>
      <c r="B50" s="85"/>
      <c r="C50" s="85"/>
      <c r="D50" s="85"/>
      <c r="E50" s="333"/>
      <c r="F50" s="340"/>
      <c r="G50" s="175"/>
      <c r="H50" s="344"/>
      <c r="I50" s="344"/>
      <c r="J50" s="344"/>
      <c r="K50" s="92"/>
      <c r="L50" s="19"/>
      <c r="M50" s="358"/>
      <c r="N50" s="358"/>
      <c r="O50"/>
      <c r="P50" s="349"/>
      <c r="Q50" s="75"/>
      <c r="R50" s="75"/>
      <c r="S50" s="88"/>
      <c r="T50" s="80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89"/>
      <c r="AO50"/>
      <c r="AP50" s="77"/>
      <c r="AQ50" s="75"/>
      <c r="AR50" s="83"/>
      <c r="AS50" s="83"/>
      <c r="AT50" s="83"/>
      <c r="AU50" s="70"/>
      <c r="AV50" s="92"/>
      <c r="AX50" s="80"/>
    </row>
    <row r="51" spans="1:50" x14ac:dyDescent="0.25">
      <c r="A51" s="152" t="s">
        <v>216</v>
      </c>
      <c r="B51" s="85"/>
      <c r="C51" s="85"/>
      <c r="D51" s="85"/>
      <c r="E51" s="16"/>
      <c r="F51" s="340"/>
      <c r="G51" s="175"/>
      <c r="H51" s="344"/>
      <c r="I51" s="344"/>
      <c r="J51" s="344"/>
      <c r="K51" s="79"/>
      <c r="L51" s="19"/>
      <c r="M51" s="358"/>
      <c r="N51" s="358"/>
      <c r="O51"/>
      <c r="P51" s="349"/>
      <c r="Q51" s="75"/>
      <c r="S51" s="88"/>
      <c r="T51" s="80"/>
      <c r="U51" s="76"/>
      <c r="V51" s="76"/>
      <c r="W51" s="76"/>
      <c r="X51" s="76"/>
      <c r="Y51" s="76"/>
      <c r="Z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89"/>
      <c r="AO51"/>
      <c r="AP51" s="77"/>
      <c r="AQ51" s="75"/>
      <c r="AR51" s="83"/>
      <c r="AS51" s="83"/>
      <c r="AT51" s="83"/>
      <c r="AU51" s="70"/>
      <c r="AV51" s="92"/>
      <c r="AX51" s="80"/>
    </row>
    <row r="52" spans="1:50" x14ac:dyDescent="0.25">
      <c r="A52" s="148" t="s">
        <v>217</v>
      </c>
      <c r="B52" s="105"/>
      <c r="C52" s="105"/>
      <c r="D52" s="105"/>
      <c r="E52" s="334"/>
      <c r="F52" s="341"/>
      <c r="G52" s="109"/>
      <c r="H52" s="110"/>
      <c r="I52" s="110"/>
      <c r="J52" s="110"/>
      <c r="K52" s="233"/>
      <c r="L52" s="229"/>
      <c r="M52" s="357"/>
      <c r="N52" s="357"/>
      <c r="O52" s="356"/>
      <c r="P52" s="348"/>
      <c r="Q52" s="109"/>
      <c r="R52" s="109"/>
      <c r="S52" s="114"/>
      <c r="T52" s="114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57"/>
      <c r="AO52" s="151"/>
      <c r="AP52" s="117"/>
      <c r="AQ52" s="109"/>
      <c r="AR52" s="111"/>
      <c r="AS52" s="111"/>
      <c r="AT52" s="111"/>
      <c r="AU52" s="105"/>
      <c r="AV52" s="118"/>
      <c r="AX52" s="114"/>
    </row>
    <row r="53" spans="1:50" x14ac:dyDescent="0.25">
      <c r="A53" s="158" t="s">
        <v>218</v>
      </c>
      <c r="B53" s="105"/>
      <c r="C53" s="105"/>
      <c r="D53" s="105"/>
      <c r="E53" s="334"/>
      <c r="F53" s="341"/>
      <c r="G53" s="337"/>
      <c r="H53" s="110"/>
      <c r="I53" s="110"/>
      <c r="J53" s="110"/>
      <c r="K53" s="233"/>
      <c r="L53" s="229"/>
      <c r="M53" s="357"/>
      <c r="N53" s="357"/>
      <c r="O53" s="356"/>
      <c r="P53" s="348"/>
      <c r="Q53" s="109"/>
      <c r="R53" s="109"/>
      <c r="S53" s="114"/>
      <c r="T53" s="114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57"/>
      <c r="AO53" s="151"/>
      <c r="AP53" s="117"/>
      <c r="AQ53" s="109"/>
      <c r="AR53" s="111"/>
      <c r="AS53" s="111"/>
      <c r="AT53" s="111"/>
      <c r="AU53" s="105"/>
      <c r="AV53" s="118"/>
      <c r="AX53" s="114"/>
    </row>
    <row r="54" spans="1:50" x14ac:dyDescent="0.25">
      <c r="A54" s="105" t="s">
        <v>219</v>
      </c>
      <c r="B54" s="105"/>
      <c r="C54" s="105"/>
      <c r="D54" s="105"/>
      <c r="E54" s="112"/>
      <c r="F54" s="342"/>
      <c r="G54" s="246"/>
      <c r="H54" s="110"/>
      <c r="I54" s="110"/>
      <c r="J54" s="110"/>
      <c r="K54" s="233"/>
      <c r="L54" s="229"/>
      <c r="M54" s="359"/>
      <c r="N54" s="359"/>
      <c r="O54" s="158"/>
      <c r="P54" s="350"/>
      <c r="Q54" s="246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57"/>
      <c r="AO54" s="156"/>
      <c r="AP54" s="105"/>
      <c r="AQ54" s="105"/>
      <c r="AR54" s="105"/>
      <c r="AS54" s="105"/>
      <c r="AT54" s="105"/>
      <c r="AU54" s="105"/>
      <c r="AV54" s="105"/>
      <c r="AX54" s="114"/>
    </row>
    <row r="55" spans="1:50" x14ac:dyDescent="0.25">
      <c r="A55" s="14" t="s">
        <v>220</v>
      </c>
      <c r="B55" s="85"/>
      <c r="C55" s="85"/>
      <c r="D55" s="85"/>
      <c r="E55" s="333"/>
      <c r="F55" s="340"/>
      <c r="G55" s="175"/>
      <c r="H55" s="344"/>
      <c r="I55" s="344"/>
      <c r="J55" s="344"/>
      <c r="K55" s="79"/>
      <c r="L55" s="19"/>
      <c r="M55" s="358"/>
      <c r="N55" s="358"/>
      <c r="O55"/>
      <c r="P55" s="349"/>
      <c r="Q55" s="75"/>
      <c r="R55" s="75"/>
      <c r="S55" s="88"/>
      <c r="T55" s="80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89"/>
      <c r="AO55"/>
      <c r="AP55" s="77"/>
      <c r="AQ55" s="75"/>
      <c r="AR55" s="83"/>
      <c r="AS55" s="83"/>
      <c r="AT55" s="83"/>
      <c r="AU55" s="70"/>
      <c r="AV55" s="92"/>
      <c r="AX55" s="80"/>
    </row>
    <row r="56" spans="1:50" x14ac:dyDescent="0.25">
      <c r="A56" s="158" t="s">
        <v>221</v>
      </c>
      <c r="B56" s="105"/>
      <c r="C56" s="105"/>
      <c r="D56" s="105"/>
      <c r="E56" s="334"/>
      <c r="F56" s="341"/>
      <c r="G56" s="337"/>
      <c r="H56" s="110"/>
      <c r="I56" s="110"/>
      <c r="J56" s="110"/>
      <c r="K56" s="233"/>
      <c r="L56" s="229"/>
      <c r="M56" s="357"/>
      <c r="N56" s="357"/>
      <c r="O56" s="356"/>
      <c r="P56" s="348"/>
      <c r="Q56" s="109"/>
      <c r="R56" s="109"/>
      <c r="S56" s="114"/>
      <c r="T56" s="114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57"/>
      <c r="AO56" s="151"/>
      <c r="AP56" s="117"/>
      <c r="AQ56" s="99"/>
      <c r="AR56" s="96"/>
      <c r="AS56" s="96"/>
      <c r="AT56" s="96"/>
      <c r="AU56" s="105"/>
      <c r="AV56" s="118"/>
      <c r="AX56" s="114"/>
    </row>
    <row r="57" spans="1:50" x14ac:dyDescent="0.25">
      <c r="A57" s="158" t="s">
        <v>222</v>
      </c>
      <c r="B57" s="105"/>
      <c r="C57" s="105"/>
      <c r="D57" s="105"/>
      <c r="E57" s="334"/>
      <c r="F57" s="341"/>
      <c r="G57" s="337"/>
      <c r="H57" s="110"/>
      <c r="I57" s="110"/>
      <c r="J57" s="110"/>
      <c r="K57" s="233"/>
      <c r="L57" s="229"/>
      <c r="M57" s="357"/>
      <c r="N57" s="357"/>
      <c r="O57" s="356"/>
      <c r="P57" s="348"/>
      <c r="Q57" s="109"/>
      <c r="R57" s="109"/>
      <c r="S57" s="114"/>
      <c r="T57" s="114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57"/>
      <c r="AO57" s="151"/>
      <c r="AP57" s="117"/>
      <c r="AQ57" s="99"/>
      <c r="AR57" s="96"/>
      <c r="AS57" s="96"/>
      <c r="AT57" s="96"/>
      <c r="AU57" s="105"/>
      <c r="AV57" s="118"/>
      <c r="AX57" s="114"/>
    </row>
    <row r="58" spans="1:50" x14ac:dyDescent="0.25">
      <c r="A58" s="158" t="s">
        <v>223</v>
      </c>
      <c r="B58" s="105"/>
      <c r="C58" s="105"/>
      <c r="D58" s="105"/>
      <c r="E58" s="334"/>
      <c r="F58" s="341"/>
      <c r="G58" s="337"/>
      <c r="H58" s="110"/>
      <c r="I58" s="110"/>
      <c r="J58" s="110"/>
      <c r="K58" s="233"/>
      <c r="L58" s="229"/>
      <c r="M58" s="357"/>
      <c r="N58" s="357"/>
      <c r="O58" s="356"/>
      <c r="P58" s="348"/>
      <c r="Q58" s="109"/>
      <c r="R58" s="109"/>
      <c r="S58" s="114"/>
      <c r="T58" s="114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57"/>
      <c r="AO58" s="151"/>
      <c r="AP58" s="117"/>
      <c r="AQ58" s="99"/>
      <c r="AR58" s="96"/>
      <c r="AS58" s="96"/>
      <c r="AT58" s="96"/>
      <c r="AU58" s="105"/>
      <c r="AV58" s="118"/>
      <c r="AX58" s="114"/>
    </row>
    <row r="59" spans="1:50" x14ac:dyDescent="0.25">
      <c r="A59" s="158" t="s">
        <v>224</v>
      </c>
      <c r="B59" s="105"/>
      <c r="C59" s="105"/>
      <c r="D59" s="105"/>
      <c r="E59" s="334"/>
      <c r="F59" s="341"/>
      <c r="G59" s="337"/>
      <c r="H59" s="110"/>
      <c r="I59" s="110"/>
      <c r="J59" s="110"/>
      <c r="K59" s="233"/>
      <c r="L59" s="229"/>
      <c r="M59" s="357"/>
      <c r="N59" s="357"/>
      <c r="O59" s="356"/>
      <c r="P59" s="348"/>
      <c r="Q59" s="109"/>
      <c r="R59" s="109"/>
      <c r="S59" s="114"/>
      <c r="T59" s="114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57"/>
      <c r="AO59" s="151"/>
      <c r="AP59" s="117"/>
      <c r="AQ59" s="99"/>
      <c r="AR59" s="96"/>
      <c r="AS59" s="96"/>
      <c r="AT59" s="96"/>
      <c r="AU59" s="105"/>
      <c r="AV59" s="118"/>
      <c r="AX59" s="114"/>
    </row>
    <row r="60" spans="1:50" x14ac:dyDescent="0.25">
      <c r="A60" s="158" t="s">
        <v>225</v>
      </c>
      <c r="B60" s="105"/>
      <c r="C60" s="105"/>
      <c r="D60" s="105"/>
      <c r="E60" s="334"/>
      <c r="F60" s="341"/>
      <c r="G60" s="337"/>
      <c r="H60" s="110"/>
      <c r="I60" s="110"/>
      <c r="J60" s="110"/>
      <c r="K60" s="233"/>
      <c r="L60" s="229"/>
      <c r="M60" s="357"/>
      <c r="N60" s="357"/>
      <c r="O60" s="356"/>
      <c r="P60" s="348"/>
      <c r="Q60" s="109"/>
      <c r="R60" s="109"/>
      <c r="S60" s="114"/>
      <c r="T60" s="114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57"/>
      <c r="AO60" s="151"/>
      <c r="AP60" s="117"/>
      <c r="AQ60" s="99"/>
      <c r="AR60" s="96"/>
      <c r="AS60" s="96"/>
      <c r="AT60" s="96"/>
      <c r="AU60" s="105"/>
      <c r="AV60" s="118"/>
      <c r="AX60" s="114"/>
    </row>
    <row r="61" spans="1:50" x14ac:dyDescent="0.25">
      <c r="A61" s="160" t="s">
        <v>226</v>
      </c>
      <c r="B61" s="85"/>
      <c r="C61" s="85"/>
      <c r="D61" s="85"/>
      <c r="E61" s="333"/>
      <c r="F61" s="340"/>
      <c r="G61" s="338"/>
      <c r="H61" s="344"/>
      <c r="I61" s="344"/>
      <c r="J61" s="344"/>
      <c r="K61" s="92"/>
      <c r="L61" s="19"/>
      <c r="M61" s="358"/>
      <c r="N61" s="358"/>
      <c r="O61"/>
      <c r="P61" s="349"/>
      <c r="Q61" s="75"/>
      <c r="R61" s="75"/>
      <c r="S61" s="88"/>
      <c r="T61" s="80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89"/>
      <c r="AO61" s="90"/>
      <c r="AP61" s="77"/>
      <c r="AQ61" s="75"/>
      <c r="AR61" s="83"/>
      <c r="AS61" s="83"/>
      <c r="AT61" s="83"/>
      <c r="AU61" s="70"/>
      <c r="AV61" s="92"/>
      <c r="AX61" s="80"/>
    </row>
    <row r="62" spans="1:50" x14ac:dyDescent="0.25">
      <c r="A62" s="105" t="s">
        <v>227</v>
      </c>
      <c r="B62" s="105"/>
      <c r="C62" s="105"/>
      <c r="D62" s="105"/>
      <c r="E62" s="112"/>
      <c r="F62" s="342"/>
      <c r="G62" s="246"/>
      <c r="H62" s="110"/>
      <c r="I62" s="110"/>
      <c r="J62" s="110"/>
      <c r="K62" s="233"/>
      <c r="L62" s="229"/>
      <c r="M62" s="359"/>
      <c r="N62" s="359"/>
      <c r="O62" s="158"/>
      <c r="P62" s="350"/>
      <c r="Q62" s="246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57"/>
      <c r="AO62" s="156"/>
      <c r="AP62" s="105"/>
      <c r="AQ62" s="105"/>
      <c r="AR62" s="105"/>
      <c r="AS62" s="105"/>
      <c r="AT62" s="105"/>
      <c r="AU62" s="105"/>
      <c r="AV62" s="105"/>
      <c r="AX62" s="114"/>
    </row>
    <row r="63" spans="1:50" x14ac:dyDescent="0.25">
      <c r="A63" s="105" t="s">
        <v>228</v>
      </c>
      <c r="B63" s="105"/>
      <c r="C63" s="105"/>
      <c r="D63" s="105"/>
      <c r="E63" s="112"/>
      <c r="F63" s="342"/>
      <c r="G63" s="246"/>
      <c r="H63" s="110"/>
      <c r="I63" s="110"/>
      <c r="J63" s="110"/>
      <c r="K63" s="233"/>
      <c r="L63" s="229"/>
      <c r="M63" s="359"/>
      <c r="N63" s="359"/>
      <c r="O63" s="158"/>
      <c r="P63" s="350"/>
      <c r="Q63" s="246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57"/>
      <c r="AO63" s="156"/>
      <c r="AP63" s="105"/>
      <c r="AQ63" s="105"/>
      <c r="AR63" s="105"/>
      <c r="AS63" s="105"/>
      <c r="AT63" s="105"/>
      <c r="AU63" s="105"/>
      <c r="AV63" s="105"/>
      <c r="AX63" s="114"/>
    </row>
    <row r="64" spans="1:50" x14ac:dyDescent="0.25">
      <c r="A64" s="160" t="s">
        <v>229</v>
      </c>
      <c r="B64" s="85"/>
      <c r="C64" s="85"/>
      <c r="D64" s="85"/>
      <c r="E64" s="333"/>
      <c r="F64" s="340"/>
      <c r="G64" s="175"/>
      <c r="H64" s="344"/>
      <c r="I64" s="344"/>
      <c r="J64" s="344"/>
      <c r="K64" s="79"/>
      <c r="L64" s="19"/>
      <c r="M64" s="358"/>
      <c r="N64" s="358"/>
      <c r="O64"/>
      <c r="P64" s="351"/>
      <c r="Q64" s="75"/>
      <c r="R64" s="75"/>
      <c r="S64" s="88"/>
      <c r="T64" s="80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274"/>
      <c r="AN64" s="272"/>
      <c r="AO64"/>
      <c r="AP64" s="77"/>
      <c r="AQ64" s="75"/>
      <c r="AR64" s="83"/>
      <c r="AS64" s="83"/>
      <c r="AT64" s="83"/>
      <c r="AU64" s="70"/>
      <c r="AV64" s="92"/>
      <c r="AX64" s="80"/>
    </row>
    <row r="65" spans="1:50" x14ac:dyDescent="0.25">
      <c r="A65" s="105" t="s">
        <v>230</v>
      </c>
      <c r="B65" s="105"/>
      <c r="C65" s="105"/>
      <c r="D65" s="105"/>
      <c r="E65" s="112"/>
      <c r="F65" s="342"/>
      <c r="G65" s="246"/>
      <c r="H65" s="110"/>
      <c r="I65" s="110"/>
      <c r="J65" s="110"/>
      <c r="K65" s="233"/>
      <c r="L65" s="229"/>
      <c r="M65" s="359"/>
      <c r="N65" s="359"/>
      <c r="O65" s="158"/>
      <c r="P65" s="350"/>
      <c r="Q65" s="246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57"/>
      <c r="AO65" s="156"/>
      <c r="AP65" s="105"/>
      <c r="AQ65" s="105"/>
      <c r="AR65" s="105"/>
      <c r="AS65" s="105"/>
      <c r="AT65" s="105"/>
      <c r="AU65" s="105"/>
      <c r="AV65" s="105"/>
      <c r="AX65" s="114"/>
    </row>
    <row r="66" spans="1:50" x14ac:dyDescent="0.25">
      <c r="A66" s="201" t="s">
        <v>231</v>
      </c>
      <c r="B66" s="85"/>
      <c r="C66" s="201"/>
      <c r="D66" s="85"/>
      <c r="E66" s="335"/>
      <c r="F66" s="340"/>
      <c r="G66" s="338"/>
      <c r="H66" s="344"/>
      <c r="I66" s="344"/>
      <c r="J66" s="344"/>
      <c r="K66" s="92"/>
      <c r="L66" s="19"/>
      <c r="M66" s="358"/>
      <c r="N66" s="358"/>
      <c r="O66"/>
      <c r="P66" s="349"/>
      <c r="Q66" s="222"/>
      <c r="R66" s="200"/>
      <c r="S66" s="213"/>
      <c r="T66" s="200"/>
      <c r="U66" s="200"/>
      <c r="V66" s="200"/>
      <c r="W66" s="200"/>
      <c r="X66" s="200"/>
      <c r="Y66" s="200"/>
      <c r="Z66" s="200"/>
      <c r="AA66" s="200"/>
      <c r="AB66" s="200"/>
      <c r="AC66" s="200"/>
      <c r="AD66" s="200"/>
      <c r="AE66" s="200"/>
      <c r="AF66" s="200"/>
      <c r="AG66" s="200"/>
      <c r="AH66" s="200"/>
      <c r="AI66" s="200"/>
      <c r="AJ66" s="200"/>
      <c r="AK66" s="200"/>
      <c r="AL66" s="200"/>
      <c r="AM66" s="76"/>
      <c r="AN66" s="89"/>
      <c r="AO66" s="277"/>
      <c r="AP66" s="77"/>
      <c r="AQ66" s="75"/>
      <c r="AR66" s="83"/>
      <c r="AS66" s="83"/>
      <c r="AT66" s="83"/>
      <c r="AU66" s="70"/>
      <c r="AV66" s="92"/>
      <c r="AX66" s="80"/>
    </row>
    <row r="67" spans="1:50" x14ac:dyDescent="0.25">
      <c r="A67" s="202" t="s">
        <v>232</v>
      </c>
      <c r="B67" s="85"/>
      <c r="C67" s="201"/>
      <c r="D67" s="85"/>
      <c r="E67" s="335"/>
      <c r="F67" s="340"/>
      <c r="G67" s="175"/>
      <c r="H67" s="344"/>
      <c r="I67" s="344"/>
      <c r="J67" s="344"/>
      <c r="K67" s="92"/>
      <c r="L67" s="168"/>
      <c r="M67" s="358"/>
      <c r="N67" s="358"/>
      <c r="O67"/>
      <c r="P67" s="352"/>
      <c r="Q67" s="222"/>
      <c r="R67" s="200"/>
      <c r="S67" s="214"/>
      <c r="T67" s="200"/>
      <c r="U67" s="200"/>
      <c r="V67" s="200"/>
      <c r="W67" s="200"/>
      <c r="X67" s="200"/>
      <c r="Y67" s="200"/>
      <c r="Z67" s="200"/>
      <c r="AA67" s="200"/>
      <c r="AB67" s="200"/>
      <c r="AC67" s="200"/>
      <c r="AD67" s="200"/>
      <c r="AE67" s="200"/>
      <c r="AF67" s="200"/>
      <c r="AG67" s="200"/>
      <c r="AH67" s="200"/>
      <c r="AI67" s="200"/>
      <c r="AJ67" s="200"/>
      <c r="AK67" s="200"/>
      <c r="AL67" s="200"/>
      <c r="AM67" s="76"/>
      <c r="AN67" s="272"/>
      <c r="AO67"/>
      <c r="AP67" s="77"/>
      <c r="AQ67" s="75"/>
      <c r="AR67" s="83"/>
      <c r="AS67" s="83"/>
      <c r="AT67" s="83"/>
      <c r="AU67" s="70"/>
      <c r="AV67" s="92"/>
      <c r="AX67" s="80"/>
    </row>
    <row r="68" spans="1:50" x14ac:dyDescent="0.25">
      <c r="A68" s="105" t="s">
        <v>233</v>
      </c>
      <c r="B68" s="105"/>
      <c r="C68" s="105"/>
      <c r="D68" s="105"/>
      <c r="E68" s="112"/>
      <c r="F68" s="342"/>
      <c r="G68" s="246"/>
      <c r="H68" s="110"/>
      <c r="I68" s="110"/>
      <c r="J68" s="110"/>
      <c r="K68" s="233"/>
      <c r="L68" s="229"/>
      <c r="M68" s="359"/>
      <c r="N68" s="359"/>
      <c r="O68" s="158"/>
      <c r="P68" s="350"/>
      <c r="Q68" s="246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57"/>
      <c r="AO68" s="156"/>
      <c r="AP68" s="105"/>
      <c r="AQ68" s="105"/>
      <c r="AR68" s="105"/>
      <c r="AS68" s="105"/>
      <c r="AT68" s="105"/>
      <c r="AU68" s="105"/>
      <c r="AV68" s="105"/>
      <c r="AX68" s="114"/>
    </row>
    <row r="69" spans="1:50" x14ac:dyDescent="0.25">
      <c r="A69" s="105" t="s">
        <v>234</v>
      </c>
      <c r="B69" s="105"/>
      <c r="C69" s="105"/>
      <c r="D69" s="105"/>
      <c r="E69" s="112"/>
      <c r="F69" s="342"/>
      <c r="G69" s="246"/>
      <c r="H69" s="110"/>
      <c r="I69" s="110"/>
      <c r="J69" s="110"/>
      <c r="K69" s="233"/>
      <c r="L69" s="229"/>
      <c r="M69" s="359"/>
      <c r="N69" s="359"/>
      <c r="O69" s="158"/>
      <c r="P69" s="350"/>
      <c r="Q69" s="246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57"/>
      <c r="AO69" s="156"/>
      <c r="AP69" s="105"/>
      <c r="AQ69" s="105"/>
      <c r="AR69" s="105"/>
      <c r="AS69" s="105"/>
      <c r="AT69" s="105"/>
      <c r="AU69" s="105"/>
      <c r="AV69" s="105"/>
      <c r="AX69" s="114"/>
    </row>
    <row r="70" spans="1:50" x14ac:dyDescent="0.25">
      <c r="A70" s="202" t="s">
        <v>235</v>
      </c>
      <c r="B70" s="85"/>
      <c r="C70" s="201"/>
      <c r="D70" s="85"/>
      <c r="E70" s="335"/>
      <c r="F70" s="340"/>
      <c r="G70" s="338"/>
      <c r="H70" s="344"/>
      <c r="I70" s="344"/>
      <c r="J70" s="344"/>
      <c r="K70" s="92"/>
      <c r="L70" s="19"/>
      <c r="M70" s="358"/>
      <c r="N70" s="358"/>
      <c r="O70"/>
      <c r="P70" s="352"/>
      <c r="Q70" s="222"/>
      <c r="R70" s="200"/>
      <c r="S70" s="213"/>
      <c r="T70" s="200"/>
      <c r="U70" s="200"/>
      <c r="V70" s="200"/>
      <c r="W70" s="200"/>
      <c r="X70" s="200"/>
      <c r="Y70" s="200"/>
      <c r="Z70" s="200"/>
      <c r="AA70" s="200"/>
      <c r="AB70" s="200"/>
      <c r="AC70" s="200"/>
      <c r="AD70" s="200"/>
      <c r="AE70" s="200"/>
      <c r="AF70" s="200"/>
      <c r="AG70" s="200"/>
      <c r="AH70" s="200"/>
      <c r="AI70" s="200"/>
      <c r="AJ70" s="200"/>
      <c r="AK70" s="200"/>
      <c r="AL70" s="200"/>
      <c r="AM70" s="76"/>
      <c r="AN70" s="89"/>
      <c r="AO70" s="125"/>
      <c r="AP70" s="77"/>
      <c r="AQ70" s="75"/>
      <c r="AR70" s="83"/>
      <c r="AS70" s="83"/>
      <c r="AT70" s="83"/>
      <c r="AU70" s="70"/>
      <c r="AV70" s="92"/>
      <c r="AX70" s="80"/>
    </row>
    <row r="71" spans="1:50" x14ac:dyDescent="0.25">
      <c r="A71" s="202" t="s">
        <v>236</v>
      </c>
      <c r="B71" s="85"/>
      <c r="C71" s="201"/>
      <c r="D71" s="85"/>
      <c r="E71" s="335"/>
      <c r="F71" s="340"/>
      <c r="G71" s="338"/>
      <c r="H71" s="344"/>
      <c r="I71" s="344"/>
      <c r="J71" s="344"/>
      <c r="K71" s="92"/>
      <c r="L71" s="19"/>
      <c r="M71" s="358"/>
      <c r="N71" s="358"/>
      <c r="O71"/>
      <c r="P71" s="352"/>
      <c r="Q71" s="222"/>
      <c r="R71" s="200"/>
      <c r="S71" s="213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200"/>
      <c r="AG71" s="200"/>
      <c r="AH71" s="200"/>
      <c r="AI71" s="200"/>
      <c r="AJ71" s="200"/>
      <c r="AK71" s="200"/>
      <c r="AL71" s="200"/>
      <c r="AM71" s="76"/>
      <c r="AN71" s="89"/>
      <c r="AO71" s="125"/>
      <c r="AP71" s="77"/>
      <c r="AQ71" s="75"/>
      <c r="AR71" s="83"/>
      <c r="AS71" s="83"/>
      <c r="AT71" s="83"/>
      <c r="AU71" s="70"/>
      <c r="AV71" s="92"/>
      <c r="AX71" s="80"/>
    </row>
    <row r="72" spans="1:50" x14ac:dyDescent="0.25">
      <c r="A72" s="286" t="s">
        <v>237</v>
      </c>
      <c r="B72" s="279"/>
      <c r="C72" s="283"/>
      <c r="D72" s="279"/>
      <c r="E72" s="336"/>
      <c r="F72" s="343"/>
      <c r="G72" s="339"/>
      <c r="H72" s="345"/>
      <c r="I72" s="345"/>
      <c r="J72" s="345"/>
      <c r="K72" s="293"/>
      <c r="L72" s="285"/>
      <c r="M72" s="360"/>
      <c r="N72" s="360"/>
      <c r="O72" s="295"/>
      <c r="P72" s="353"/>
      <c r="Q72" s="346"/>
      <c r="R72" s="284"/>
      <c r="S72" s="287"/>
      <c r="T72" s="284"/>
      <c r="U72" s="284"/>
      <c r="V72" s="284"/>
      <c r="W72" s="284"/>
      <c r="X72" s="284"/>
      <c r="Y72" s="284"/>
      <c r="Z72" s="284"/>
      <c r="AA72" s="284"/>
      <c r="AB72" s="284"/>
      <c r="AC72" s="284"/>
      <c r="AD72" s="284"/>
      <c r="AE72" s="284"/>
      <c r="AF72" s="284"/>
      <c r="AG72" s="284"/>
      <c r="AH72" s="284"/>
      <c r="AI72" s="284"/>
      <c r="AJ72" s="284"/>
      <c r="AK72" s="284"/>
      <c r="AL72" s="284"/>
      <c r="AM72" s="288"/>
      <c r="AN72" s="289"/>
      <c r="AO72" s="296"/>
      <c r="AP72" s="290"/>
      <c r="AQ72" s="291"/>
      <c r="AR72" s="292"/>
      <c r="AS72" s="292"/>
      <c r="AT72" s="292"/>
      <c r="AU72" s="280"/>
      <c r="AV72" s="293"/>
      <c r="AX72" s="294"/>
    </row>
    <row r="73" spans="1:50" x14ac:dyDescent="0.25">
      <c r="A73" s="202" t="s">
        <v>267</v>
      </c>
      <c r="B73" s="85"/>
      <c r="C73" s="85"/>
      <c r="D73" s="85"/>
      <c r="E73" s="333"/>
      <c r="F73" s="340"/>
      <c r="G73" s="175"/>
      <c r="H73" s="344"/>
      <c r="I73" s="344"/>
      <c r="J73" s="344"/>
      <c r="K73" s="92"/>
      <c r="L73" s="19"/>
      <c r="M73" s="358"/>
      <c r="N73" s="358"/>
      <c r="O73"/>
      <c r="P73" s="349"/>
      <c r="Q73" s="222"/>
      <c r="R73" s="200"/>
      <c r="S73" s="213"/>
      <c r="T73" s="200"/>
      <c r="U73" s="200"/>
      <c r="V73" s="200"/>
      <c r="W73" s="200"/>
      <c r="X73" s="200"/>
      <c r="Y73" s="200"/>
      <c r="Z73" s="200"/>
      <c r="AA73" s="200"/>
      <c r="AB73" s="200"/>
      <c r="AC73" s="200"/>
      <c r="AD73" s="200"/>
      <c r="AE73" s="200"/>
      <c r="AF73" s="200"/>
      <c r="AG73" s="200"/>
      <c r="AH73" s="200"/>
      <c r="AI73" s="200"/>
      <c r="AJ73" s="200"/>
      <c r="AK73" s="200"/>
      <c r="AL73" s="200"/>
      <c r="AM73" s="76"/>
      <c r="AN73" s="89"/>
      <c r="AO73" s="90"/>
      <c r="AP73" s="77"/>
      <c r="AQ73" s="75"/>
      <c r="AR73" s="83"/>
      <c r="AS73" s="83"/>
      <c r="AT73" s="83"/>
      <c r="AU73" s="70"/>
      <c r="AV73" s="92"/>
      <c r="AX73" s="80"/>
    </row>
    <row r="74" spans="1:50" x14ac:dyDescent="0.25">
      <c r="A74" s="202" t="s">
        <v>268</v>
      </c>
      <c r="B74" s="85"/>
      <c r="C74" s="85"/>
      <c r="D74" s="85"/>
      <c r="E74" s="333"/>
      <c r="F74" s="340"/>
      <c r="G74" s="175"/>
      <c r="H74" s="344"/>
      <c r="I74" s="344"/>
      <c r="J74" s="344"/>
      <c r="K74" s="92"/>
      <c r="L74" s="19"/>
      <c r="M74" s="358"/>
      <c r="N74" s="358"/>
      <c r="O74"/>
      <c r="P74" s="349"/>
      <c r="Q74" s="222"/>
      <c r="R74" s="200"/>
      <c r="S74" s="213"/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0"/>
      <c r="AE74" s="200"/>
      <c r="AF74" s="200"/>
      <c r="AG74" s="200"/>
      <c r="AH74" s="200"/>
      <c r="AI74" s="200"/>
      <c r="AJ74" s="200"/>
      <c r="AK74" s="200"/>
      <c r="AL74" s="200"/>
      <c r="AM74" s="76"/>
      <c r="AN74" s="89"/>
      <c r="AO74" s="90"/>
      <c r="AP74" s="77"/>
      <c r="AQ74" s="75"/>
      <c r="AR74" s="83"/>
      <c r="AS74" s="83"/>
      <c r="AT74" s="83"/>
      <c r="AU74" s="70"/>
      <c r="AV74" s="92"/>
      <c r="AX74" s="80"/>
    </row>
    <row r="75" spans="1:50" x14ac:dyDescent="0.25">
      <c r="A75" s="202" t="s">
        <v>269</v>
      </c>
      <c r="B75" s="85"/>
      <c r="C75" s="85"/>
      <c r="D75" s="85"/>
      <c r="E75" s="333"/>
      <c r="F75" s="340"/>
      <c r="G75" s="175"/>
      <c r="H75" s="344"/>
      <c r="I75" s="344"/>
      <c r="J75" s="344"/>
      <c r="K75" s="79"/>
      <c r="M75" s="358"/>
      <c r="N75" s="358"/>
      <c r="O75"/>
      <c r="P75" s="354"/>
      <c r="Q75" s="222"/>
      <c r="R75" s="200"/>
      <c r="S75" s="213"/>
      <c r="T75" s="200"/>
      <c r="U75" s="200"/>
      <c r="V75" s="200"/>
      <c r="W75" s="200"/>
      <c r="X75" s="200"/>
      <c r="Y75" s="200"/>
      <c r="Z75" s="200"/>
      <c r="AA75" s="200"/>
      <c r="AB75" s="200"/>
      <c r="AC75" s="200"/>
      <c r="AD75" s="200"/>
      <c r="AE75" s="200"/>
      <c r="AF75" s="200"/>
      <c r="AG75" s="200"/>
      <c r="AH75" s="200"/>
      <c r="AI75" s="200"/>
      <c r="AJ75" s="200"/>
      <c r="AK75" s="200"/>
      <c r="AL75" s="200"/>
      <c r="AM75" s="76"/>
      <c r="AN75" s="89"/>
      <c r="AO75" s="90"/>
      <c r="AP75" s="77"/>
      <c r="AQ75" s="75"/>
      <c r="AR75" s="83"/>
      <c r="AS75" s="83"/>
      <c r="AT75" s="83"/>
      <c r="AU75" s="70"/>
      <c r="AV75" s="92"/>
      <c r="AX75" s="80"/>
    </row>
    <row r="76" spans="1:50" x14ac:dyDescent="0.25">
      <c r="A76" s="202" t="s">
        <v>270</v>
      </c>
      <c r="B76" s="85"/>
      <c r="C76" s="85"/>
      <c r="D76" s="85"/>
      <c r="E76" s="333"/>
      <c r="F76" s="340"/>
      <c r="G76" s="175"/>
      <c r="H76" s="344"/>
      <c r="I76" s="344"/>
      <c r="J76" s="344"/>
      <c r="K76" s="79"/>
      <c r="M76" s="358"/>
      <c r="N76" s="358"/>
      <c r="O76"/>
      <c r="P76" s="354"/>
      <c r="Q76" s="222"/>
      <c r="R76" s="200"/>
      <c r="S76" s="213"/>
      <c r="T76" s="200"/>
      <c r="U76" s="200"/>
      <c r="V76" s="200"/>
      <c r="W76" s="200"/>
      <c r="X76" s="200"/>
      <c r="Y76" s="200"/>
      <c r="Z76" s="200"/>
      <c r="AA76" s="200"/>
      <c r="AB76" s="200"/>
      <c r="AC76" s="200"/>
      <c r="AD76" s="200"/>
      <c r="AE76" s="200"/>
      <c r="AF76" s="200"/>
      <c r="AG76" s="200"/>
      <c r="AH76" s="200"/>
      <c r="AI76" s="200"/>
      <c r="AJ76" s="200"/>
      <c r="AK76" s="200"/>
      <c r="AL76" s="200"/>
      <c r="AM76" s="76"/>
      <c r="AN76" s="89"/>
      <c r="AO76" s="90"/>
      <c r="AP76" s="77"/>
      <c r="AQ76" s="75"/>
      <c r="AR76" s="83"/>
      <c r="AS76" s="83"/>
      <c r="AT76" s="83"/>
      <c r="AU76" s="70"/>
      <c r="AV76" s="92"/>
      <c r="AX76" s="80"/>
    </row>
    <row r="77" spans="1:50" x14ac:dyDescent="0.25">
      <c r="A77" s="202" t="s">
        <v>281</v>
      </c>
      <c r="B77" s="85"/>
      <c r="C77" s="85"/>
      <c r="D77" s="85"/>
      <c r="E77" s="333"/>
      <c r="F77" s="340"/>
      <c r="G77" s="175"/>
      <c r="H77" s="344"/>
      <c r="I77" s="344"/>
      <c r="J77" s="344"/>
      <c r="K77" s="79"/>
      <c r="L77" s="160"/>
      <c r="M77" s="358"/>
      <c r="N77" s="358"/>
      <c r="O77"/>
      <c r="P77" s="355"/>
      <c r="Q77" s="222"/>
      <c r="R77" s="200"/>
      <c r="S77" s="213"/>
      <c r="T77" s="200"/>
      <c r="U77" s="200"/>
      <c r="V77" s="200"/>
      <c r="W77" s="200"/>
      <c r="X77" s="200"/>
      <c r="Y77" s="200"/>
      <c r="Z77" s="200"/>
      <c r="AA77" s="200"/>
      <c r="AB77" s="200"/>
      <c r="AC77" s="200"/>
      <c r="AD77" s="200"/>
      <c r="AE77" s="200"/>
      <c r="AF77" s="200"/>
      <c r="AG77" s="200"/>
      <c r="AH77" s="200"/>
      <c r="AI77" s="200"/>
      <c r="AJ77" s="200"/>
      <c r="AK77" s="200"/>
      <c r="AL77" s="200"/>
      <c r="AM77" s="76"/>
      <c r="AN77" s="89"/>
      <c r="AO77" s="90"/>
      <c r="AP77" s="77"/>
      <c r="AQ77" s="75"/>
      <c r="AR77" s="83"/>
      <c r="AS77" s="83"/>
      <c r="AT77" s="83"/>
      <c r="AU77" s="70"/>
      <c r="AV77" s="92"/>
      <c r="AX77" s="80"/>
    </row>
    <row r="78" spans="1:50" x14ac:dyDescent="0.25">
      <c r="A78" s="202" t="s">
        <v>282</v>
      </c>
      <c r="B78" s="85"/>
      <c r="C78" s="85"/>
      <c r="D78" s="85"/>
      <c r="E78" s="333"/>
      <c r="F78" s="340"/>
      <c r="G78" s="175"/>
      <c r="H78" s="344"/>
      <c r="I78" s="344"/>
      <c r="J78" s="344"/>
      <c r="K78" s="79"/>
      <c r="L78" s="160"/>
      <c r="M78" s="358"/>
      <c r="N78" s="358"/>
      <c r="O78"/>
      <c r="P78" s="355"/>
      <c r="Q78" s="222"/>
      <c r="R78" s="200"/>
      <c r="S78" s="213"/>
      <c r="T78" s="200"/>
      <c r="U78" s="200"/>
      <c r="V78" s="200"/>
      <c r="W78" s="200"/>
      <c r="X78" s="200"/>
      <c r="Y78" s="200"/>
      <c r="Z78" s="200"/>
      <c r="AA78" s="200"/>
      <c r="AB78" s="200"/>
      <c r="AC78" s="200"/>
      <c r="AD78" s="200"/>
      <c r="AE78" s="200"/>
      <c r="AF78" s="200"/>
      <c r="AG78" s="200"/>
      <c r="AH78" s="200"/>
      <c r="AI78" s="200"/>
      <c r="AJ78" s="200"/>
      <c r="AK78" s="200"/>
      <c r="AL78" s="200"/>
      <c r="AM78" s="76"/>
      <c r="AN78" s="89"/>
      <c r="AO78" s="90"/>
      <c r="AP78" s="77"/>
      <c r="AQ78" s="75"/>
      <c r="AR78" s="83"/>
      <c r="AS78" s="83"/>
      <c r="AT78" s="83"/>
      <c r="AU78" s="70"/>
      <c r="AV78" s="92"/>
      <c r="AX78" s="80"/>
    </row>
  </sheetData>
  <sheetProtection selectLockedCells="1" selectUnlockedCells="1"/>
  <phoneticPr fontId="24" type="noConversion"/>
  <printOptions horizontalCentered="1" verticalCentered="1"/>
  <pageMargins left="0.31527777777777777" right="0.31527777777777777" top="1" bottom="1" header="0.51180555555555551" footer="0"/>
  <pageSetup paperSize="9" firstPageNumber="0" orientation="landscape" horizontalDpi="300" verticalDpi="300" r:id="rId1"/>
  <headerFooter alignWithMargins="0">
    <oddFooter>&amp;C&amp;A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X78"/>
  <sheetViews>
    <sheetView zoomScale="98" zoomScaleNormal="98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ColWidth="11.08984375" defaultRowHeight="12.5" x14ac:dyDescent="0.25"/>
  <cols>
    <col min="1" max="4" width="9.36328125" style="14" customWidth="1"/>
    <col min="5" max="5" width="9.36328125" style="15" customWidth="1"/>
    <col min="6" max="6" width="9.08984375" style="16" customWidth="1"/>
    <col min="7" max="7" width="15.54296875" style="17" customWidth="1"/>
    <col min="8" max="8" width="12" style="17" customWidth="1"/>
    <col min="9" max="9" width="15.08984375" style="17" customWidth="1"/>
    <col min="10" max="10" width="12" style="17" customWidth="1"/>
    <col min="11" max="11" width="7.08984375" style="14" customWidth="1"/>
    <col min="12" max="12" width="8.81640625" style="14" customWidth="1"/>
    <col min="13" max="13" width="12" style="14" customWidth="1"/>
    <col min="14" max="14" width="16.81640625" style="14" customWidth="1"/>
    <col min="15" max="15" width="12" style="14" customWidth="1"/>
    <col min="16" max="16" width="30.54296875" style="18" customWidth="1"/>
    <col min="17" max="20" width="6.54296875" style="19" customWidth="1"/>
    <col min="21" max="21" width="5.81640625" style="19" customWidth="1"/>
    <col min="22" max="38" width="4.54296875" style="19" customWidth="1"/>
    <col min="39" max="40" width="6.54296875" style="19" customWidth="1"/>
    <col min="41" max="42" width="30.54296875" style="19" customWidth="1"/>
    <col min="43" max="43" width="6.54296875" style="19" customWidth="1"/>
    <col min="44" max="46" width="12" style="19" customWidth="1"/>
    <col min="47" max="47" width="6.54296875" customWidth="1"/>
    <col min="48" max="48" width="30.54296875" style="14" customWidth="1"/>
    <col min="49" max="49" width="6.54296875" style="14" customWidth="1"/>
    <col min="50" max="50" width="6.54296875" style="19" customWidth="1"/>
    <col min="51" max="16384" width="11.08984375" style="18"/>
  </cols>
  <sheetData>
    <row r="1" spans="1:50" s="35" customFormat="1" ht="15" x14ac:dyDescent="0.4">
      <c r="A1" s="20" t="s">
        <v>42</v>
      </c>
      <c r="B1" s="21" t="s">
        <v>262</v>
      </c>
      <c r="C1" s="22" t="s">
        <v>43</v>
      </c>
      <c r="D1" s="23" t="s">
        <v>266</v>
      </c>
      <c r="E1" s="24" t="s">
        <v>44</v>
      </c>
      <c r="F1" s="25" t="s">
        <v>265</v>
      </c>
      <c r="G1" s="26" t="s">
        <v>45</v>
      </c>
      <c r="H1" s="121" t="s">
        <v>46</v>
      </c>
      <c r="I1" s="28"/>
      <c r="J1" s="27"/>
      <c r="K1" s="29"/>
      <c r="L1" s="30" t="s">
        <v>47</v>
      </c>
      <c r="M1" s="31">
        <v>633905.21799999999</v>
      </c>
      <c r="N1" s="31">
        <v>3049240.4240000001</v>
      </c>
      <c r="O1" s="31">
        <f>56.475-0.11</f>
        <v>56.365000000000002</v>
      </c>
      <c r="P1" s="122" t="s">
        <v>238</v>
      </c>
      <c r="Q1" s="123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V1" s="36"/>
      <c r="AW1" s="14"/>
      <c r="AX1" s="34"/>
    </row>
    <row r="2" spans="1:50" ht="15" x14ac:dyDescent="0.4">
      <c r="A2" s="37" t="s">
        <v>49</v>
      </c>
      <c r="B2" s="38" t="s">
        <v>50</v>
      </c>
      <c r="C2" s="39" t="s">
        <v>51</v>
      </c>
      <c r="D2" s="38" t="s">
        <v>52</v>
      </c>
      <c r="E2" s="40" t="s">
        <v>53</v>
      </c>
      <c r="F2" s="41" t="s">
        <v>54</v>
      </c>
      <c r="G2" s="223" t="s">
        <v>55</v>
      </c>
      <c r="H2" s="43" t="s">
        <v>1</v>
      </c>
      <c r="I2" s="44" t="s">
        <v>3</v>
      </c>
      <c r="J2" s="235" t="s">
        <v>5</v>
      </c>
      <c r="K2" s="44" t="s">
        <v>56</v>
      </c>
      <c r="L2" s="227" t="s">
        <v>57</v>
      </c>
      <c r="M2" s="46" t="s">
        <v>11</v>
      </c>
      <c r="N2" s="46" t="s">
        <v>58</v>
      </c>
      <c r="O2" s="46" t="s">
        <v>15</v>
      </c>
      <c r="P2" s="237" t="s">
        <v>59</v>
      </c>
      <c r="Q2" s="49" t="s">
        <v>60</v>
      </c>
      <c r="R2" s="49" t="s">
        <v>61</v>
      </c>
      <c r="S2" s="50" t="s">
        <v>22</v>
      </c>
      <c r="T2" s="51" t="s">
        <v>24</v>
      </c>
      <c r="U2" s="52"/>
      <c r="V2" s="53"/>
      <c r="W2" s="53"/>
      <c r="X2" s="53"/>
      <c r="Y2" s="53" t="s">
        <v>62</v>
      </c>
      <c r="Z2" s="53"/>
      <c r="AA2" s="53"/>
      <c r="AB2" s="53"/>
      <c r="AC2" s="54"/>
      <c r="AD2" s="53"/>
      <c r="AE2" s="53"/>
      <c r="AF2" s="53"/>
      <c r="AG2" s="53"/>
      <c r="AH2" s="53" t="s">
        <v>63</v>
      </c>
      <c r="AI2" s="53"/>
      <c r="AJ2" s="53"/>
      <c r="AK2" s="53"/>
      <c r="AL2" s="55"/>
      <c r="AM2" s="56" t="s">
        <v>64</v>
      </c>
      <c r="AN2" s="57" t="s">
        <v>65</v>
      </c>
      <c r="AO2" s="58" t="s">
        <v>66</v>
      </c>
      <c r="AP2" s="47" t="s">
        <v>67</v>
      </c>
      <c r="AQ2" s="59" t="s">
        <v>68</v>
      </c>
      <c r="AR2" s="60" t="s">
        <v>69</v>
      </c>
      <c r="AS2" s="61" t="s">
        <v>70</v>
      </c>
      <c r="AT2" s="61" t="s">
        <v>71</v>
      </c>
      <c r="AU2" s="52" t="s">
        <v>72</v>
      </c>
      <c r="AV2" s="47" t="s">
        <v>73</v>
      </c>
      <c r="AW2" s="124" t="s">
        <v>40</v>
      </c>
      <c r="AX2" s="51" t="s">
        <v>26</v>
      </c>
    </row>
    <row r="3" spans="1:50" x14ac:dyDescent="0.25">
      <c r="B3" s="62" t="s">
        <v>74</v>
      </c>
      <c r="C3" s="63" t="s">
        <v>75</v>
      </c>
      <c r="D3" s="64" t="s">
        <v>168</v>
      </c>
      <c r="E3" s="62" t="s">
        <v>74</v>
      </c>
      <c r="F3" s="63" t="s">
        <v>75</v>
      </c>
      <c r="G3" s="224"/>
      <c r="H3" s="67" t="s">
        <v>78</v>
      </c>
      <c r="I3" s="68" t="s">
        <v>79</v>
      </c>
      <c r="J3" s="17" t="s">
        <v>80</v>
      </c>
      <c r="K3" s="70"/>
      <c r="M3" s="72" t="s">
        <v>81</v>
      </c>
      <c r="N3" s="68" t="s">
        <v>82</v>
      </c>
      <c r="O3" s="17" t="s">
        <v>83</v>
      </c>
      <c r="P3" s="238"/>
      <c r="Q3" s="75" t="s">
        <v>84</v>
      </c>
      <c r="R3" s="75" t="s">
        <v>84</v>
      </c>
      <c r="S3" s="76" t="s">
        <v>85</v>
      </c>
      <c r="T3" s="76"/>
      <c r="U3" s="76"/>
      <c r="V3" s="76"/>
      <c r="W3" s="76"/>
      <c r="X3" s="76"/>
      <c r="Y3" s="76"/>
      <c r="Z3" s="76"/>
      <c r="AA3" s="76"/>
      <c r="AB3" s="76"/>
      <c r="AC3" s="77"/>
      <c r="AD3" s="75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84</v>
      </c>
      <c r="AR3" s="78" t="s">
        <v>78</v>
      </c>
      <c r="AS3" s="68" t="s">
        <v>79</v>
      </c>
      <c r="AT3" s="69" t="s">
        <v>80</v>
      </c>
      <c r="AV3" s="79"/>
      <c r="AX3" s="76"/>
    </row>
    <row r="4" spans="1:50" x14ac:dyDescent="0.25">
      <c r="A4" s="70"/>
      <c r="B4" s="70"/>
      <c r="C4" s="70"/>
      <c r="D4" s="70"/>
      <c r="E4" s="62"/>
      <c r="G4" s="225"/>
      <c r="H4" s="69"/>
      <c r="I4" s="82"/>
      <c r="K4" s="70"/>
      <c r="L4" s="19"/>
      <c r="M4" s="161"/>
      <c r="N4" s="161"/>
      <c r="O4" s="71"/>
      <c r="P4" s="238"/>
      <c r="Q4" s="75"/>
      <c r="R4" s="75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5"/>
      <c r="AR4" s="84"/>
      <c r="AS4" s="82"/>
      <c r="AT4" s="82"/>
      <c r="AV4" s="79"/>
      <c r="AX4" s="76"/>
    </row>
    <row r="5" spans="1:50" x14ac:dyDescent="0.25">
      <c r="A5" s="134" t="s">
        <v>170</v>
      </c>
      <c r="B5" s="135"/>
      <c r="C5" s="135"/>
      <c r="D5" s="135"/>
      <c r="E5" s="136"/>
      <c r="F5" s="137"/>
      <c r="G5" s="363"/>
      <c r="H5" s="139"/>
      <c r="I5" s="140"/>
      <c r="J5" s="141"/>
      <c r="K5" s="135"/>
      <c r="L5" s="228"/>
      <c r="M5" s="142"/>
      <c r="N5" s="162"/>
      <c r="O5" s="142"/>
      <c r="P5" s="239"/>
      <c r="Q5" s="139"/>
      <c r="R5" s="139"/>
      <c r="S5" s="143"/>
      <c r="T5" s="143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4"/>
      <c r="AO5" s="145"/>
      <c r="AP5" s="146"/>
      <c r="AQ5" s="139"/>
      <c r="AR5" s="141"/>
      <c r="AS5" s="141"/>
      <c r="AT5" s="141"/>
      <c r="AU5" s="135"/>
      <c r="AV5" s="147"/>
      <c r="AW5" s="163"/>
      <c r="AX5" s="143"/>
    </row>
    <row r="6" spans="1:50" x14ac:dyDescent="0.25">
      <c r="A6" s="148" t="s">
        <v>171</v>
      </c>
      <c r="B6" s="105"/>
      <c r="C6" s="105"/>
      <c r="D6" s="105"/>
      <c r="E6" s="149"/>
      <c r="F6" s="234"/>
      <c r="G6" s="364"/>
      <c r="H6" s="109"/>
      <c r="I6" s="110"/>
      <c r="J6" s="111"/>
      <c r="K6" s="105"/>
      <c r="L6" s="229"/>
      <c r="M6" s="130"/>
      <c r="N6" s="130"/>
      <c r="O6" s="130"/>
      <c r="P6" s="240"/>
      <c r="Q6" s="109"/>
      <c r="R6" s="109"/>
      <c r="S6" s="114"/>
      <c r="T6" s="114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5"/>
      <c r="AO6" s="151"/>
      <c r="AP6" s="117"/>
      <c r="AQ6" s="109"/>
      <c r="AR6" s="111"/>
      <c r="AS6" s="111"/>
      <c r="AT6" s="111"/>
      <c r="AU6" s="105"/>
      <c r="AV6" s="118"/>
      <c r="AW6" s="132"/>
      <c r="AX6" s="114"/>
    </row>
    <row r="7" spans="1:50" x14ac:dyDescent="0.25">
      <c r="A7" s="70" t="s">
        <v>172</v>
      </c>
      <c r="B7" s="86"/>
      <c r="C7" s="16"/>
      <c r="D7" s="85"/>
      <c r="E7" s="85"/>
      <c r="F7" s="196"/>
      <c r="G7" s="365"/>
      <c r="H7"/>
      <c r="I7" s="358"/>
      <c r="J7" s="358"/>
      <c r="K7" s="372"/>
      <c r="L7" s="373"/>
      <c r="M7" s="358"/>
      <c r="N7" s="358"/>
      <c r="O7"/>
      <c r="P7" s="241"/>
      <c r="Q7" s="75"/>
      <c r="R7" s="75"/>
      <c r="S7" s="88"/>
      <c r="T7" s="80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89"/>
      <c r="AO7" s="125"/>
      <c r="AP7" s="77"/>
      <c r="AQ7" s="75"/>
      <c r="AR7" s="91"/>
      <c r="AS7" s="83"/>
      <c r="AT7" s="83"/>
      <c r="AU7" s="71"/>
      <c r="AV7" s="92"/>
      <c r="AW7" s="126"/>
      <c r="AX7" s="80"/>
    </row>
    <row r="8" spans="1:50" x14ac:dyDescent="0.25">
      <c r="A8" s="148" t="s">
        <v>173</v>
      </c>
      <c r="B8" s="105"/>
      <c r="C8" s="105"/>
      <c r="D8" s="105"/>
      <c r="E8" s="106"/>
      <c r="F8" s="107"/>
      <c r="G8" s="364"/>
      <c r="H8" s="229"/>
      <c r="I8" s="374"/>
      <c r="J8" s="374"/>
      <c r="K8" s="359"/>
      <c r="L8" s="374"/>
      <c r="M8" s="357"/>
      <c r="N8" s="357"/>
      <c r="O8" s="356"/>
      <c r="P8" s="240"/>
      <c r="Q8" s="109"/>
      <c r="R8" s="109"/>
      <c r="S8" s="114"/>
      <c r="T8" s="114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20"/>
      <c r="AO8" s="151"/>
      <c r="AP8" s="117"/>
      <c r="AQ8" s="109"/>
      <c r="AR8" s="111"/>
      <c r="AS8" s="111"/>
      <c r="AT8" s="111"/>
      <c r="AU8" s="105"/>
      <c r="AV8" s="118"/>
      <c r="AW8" s="132"/>
      <c r="AX8" s="114"/>
    </row>
    <row r="9" spans="1:50" x14ac:dyDescent="0.25">
      <c r="A9" s="152" t="s">
        <v>174</v>
      </c>
      <c r="B9" s="70"/>
      <c r="C9" s="85"/>
      <c r="D9" s="85"/>
      <c r="E9" s="86"/>
      <c r="G9" s="365"/>
      <c r="H9" s="19"/>
      <c r="I9" s="373"/>
      <c r="J9" s="373"/>
      <c r="K9" s="375"/>
      <c r="L9" s="373"/>
      <c r="M9" s="376"/>
      <c r="N9" s="376"/>
      <c r="O9" s="17"/>
      <c r="P9" s="242"/>
      <c r="Q9" s="75"/>
      <c r="R9" s="75"/>
      <c r="S9" s="88"/>
      <c r="T9" s="80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89"/>
      <c r="AO9" s="154"/>
      <c r="AP9" s="77"/>
      <c r="AQ9" s="75"/>
      <c r="AR9" s="83"/>
      <c r="AS9" s="83"/>
      <c r="AT9" s="83"/>
      <c r="AU9" s="70"/>
      <c r="AV9" s="92"/>
      <c r="AW9" s="126"/>
      <c r="AX9" s="80"/>
    </row>
    <row r="10" spans="1:50" x14ac:dyDescent="0.25">
      <c r="A10" s="148" t="s">
        <v>175</v>
      </c>
      <c r="B10" s="105"/>
      <c r="C10" s="105"/>
      <c r="D10" s="105"/>
      <c r="E10" s="106"/>
      <c r="F10" s="107"/>
      <c r="G10" s="364"/>
      <c r="H10" s="229"/>
      <c r="I10" s="374"/>
      <c r="J10" s="374"/>
      <c r="K10" s="359"/>
      <c r="L10" s="374"/>
      <c r="M10" s="357"/>
      <c r="N10" s="357"/>
      <c r="O10" s="356"/>
      <c r="P10" s="240"/>
      <c r="Q10" s="109"/>
      <c r="R10" s="109"/>
      <c r="S10" s="114"/>
      <c r="T10" s="114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20"/>
      <c r="AO10" s="151"/>
      <c r="AP10" s="117"/>
      <c r="AQ10" s="109"/>
      <c r="AR10" s="111"/>
      <c r="AS10" s="111"/>
      <c r="AT10" s="111"/>
      <c r="AU10" s="105"/>
      <c r="AV10" s="118"/>
      <c r="AW10" s="132"/>
      <c r="AX10" s="114"/>
    </row>
    <row r="11" spans="1:50" x14ac:dyDescent="0.25">
      <c r="A11" s="152" t="s">
        <v>176</v>
      </c>
      <c r="B11" s="85"/>
      <c r="C11" s="85"/>
      <c r="D11" s="85"/>
      <c r="E11" s="86"/>
      <c r="G11" s="366"/>
      <c r="H11"/>
      <c r="I11" s="358"/>
      <c r="J11" s="358"/>
      <c r="K11" s="375"/>
      <c r="L11" s="373"/>
      <c r="M11" s="358"/>
      <c r="N11" s="358"/>
      <c r="O11"/>
      <c r="P11" s="242"/>
      <c r="Q11" s="75"/>
      <c r="R11" s="282"/>
      <c r="S11" s="88"/>
      <c r="T11" s="80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89"/>
      <c r="AO11" s="125"/>
      <c r="AP11" s="77"/>
      <c r="AQ11" s="75"/>
      <c r="AR11" s="83"/>
      <c r="AS11" s="83"/>
      <c r="AT11" s="83"/>
      <c r="AU11" s="70"/>
      <c r="AV11" s="92"/>
      <c r="AW11" s="126"/>
      <c r="AX11" s="80"/>
    </row>
    <row r="12" spans="1:50" x14ac:dyDescent="0.25">
      <c r="A12" s="148" t="s">
        <v>177</v>
      </c>
      <c r="B12" s="105"/>
      <c r="C12" s="105"/>
      <c r="D12" s="105"/>
      <c r="E12" s="106"/>
      <c r="F12" s="107"/>
      <c r="G12" s="364"/>
      <c r="H12" s="229"/>
      <c r="I12" s="374"/>
      <c r="J12" s="374"/>
      <c r="K12" s="359"/>
      <c r="L12" s="374"/>
      <c r="M12" s="357"/>
      <c r="N12" s="357"/>
      <c r="O12" s="356"/>
      <c r="P12" s="240"/>
      <c r="Q12" s="109"/>
      <c r="R12" s="109"/>
      <c r="S12" s="114"/>
      <c r="T12" s="114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5"/>
      <c r="AO12" s="151"/>
      <c r="AP12" s="117"/>
      <c r="AQ12" s="109"/>
      <c r="AR12" s="111"/>
      <c r="AS12" s="111"/>
      <c r="AT12" s="111"/>
      <c r="AU12" s="105"/>
      <c r="AV12" s="118"/>
      <c r="AW12" s="132"/>
      <c r="AX12" s="114"/>
    </row>
    <row r="13" spans="1:50" x14ac:dyDescent="0.25">
      <c r="A13" s="148" t="s">
        <v>178</v>
      </c>
      <c r="B13" s="105"/>
      <c r="C13" s="105"/>
      <c r="D13" s="105"/>
      <c r="E13" s="106"/>
      <c r="F13" s="107"/>
      <c r="G13" s="364"/>
      <c r="H13" s="229"/>
      <c r="I13" s="374"/>
      <c r="J13" s="374"/>
      <c r="K13" s="359"/>
      <c r="L13" s="374"/>
      <c r="M13" s="357"/>
      <c r="N13" s="357"/>
      <c r="O13" s="356"/>
      <c r="P13" s="240"/>
      <c r="Q13" s="109"/>
      <c r="R13" s="109"/>
      <c r="S13" s="114"/>
      <c r="T13" s="114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5"/>
      <c r="AO13" s="151"/>
      <c r="AP13" s="117"/>
      <c r="AQ13" s="109"/>
      <c r="AR13" s="111"/>
      <c r="AS13" s="111"/>
      <c r="AT13" s="111"/>
      <c r="AU13" s="105"/>
      <c r="AV13" s="118"/>
      <c r="AW13" s="132"/>
      <c r="AX13" s="114"/>
    </row>
    <row r="14" spans="1:50" x14ac:dyDescent="0.25">
      <c r="A14" s="148" t="s">
        <v>179</v>
      </c>
      <c r="B14" s="105"/>
      <c r="C14" s="105"/>
      <c r="D14" s="105"/>
      <c r="E14" s="106"/>
      <c r="F14" s="107"/>
      <c r="G14" s="364"/>
      <c r="H14" s="229"/>
      <c r="I14" s="374"/>
      <c r="J14" s="374"/>
      <c r="K14" s="359"/>
      <c r="L14" s="374"/>
      <c r="M14" s="357"/>
      <c r="N14" s="357"/>
      <c r="O14" s="356"/>
      <c r="P14" s="240"/>
      <c r="Q14" s="109"/>
      <c r="R14" s="109"/>
      <c r="S14" s="114"/>
      <c r="T14" s="114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5"/>
      <c r="AO14" s="151"/>
      <c r="AP14" s="117"/>
      <c r="AQ14" s="109"/>
      <c r="AR14" s="111"/>
      <c r="AS14" s="111"/>
      <c r="AT14" s="111"/>
      <c r="AU14" s="105"/>
      <c r="AV14" s="118"/>
      <c r="AW14" s="132"/>
      <c r="AX14" s="114"/>
    </row>
    <row r="15" spans="1:50" x14ac:dyDescent="0.25">
      <c r="A15" s="148" t="s">
        <v>180</v>
      </c>
      <c r="B15" s="105"/>
      <c r="C15" s="105"/>
      <c r="D15" s="105"/>
      <c r="E15" s="106"/>
      <c r="F15" s="107"/>
      <c r="G15" s="364"/>
      <c r="H15" s="229"/>
      <c r="I15" s="374"/>
      <c r="J15" s="374"/>
      <c r="K15" s="359"/>
      <c r="L15" s="374"/>
      <c r="M15" s="357"/>
      <c r="N15" s="357"/>
      <c r="O15" s="356"/>
      <c r="P15" s="240"/>
      <c r="Q15" s="109"/>
      <c r="R15" s="109"/>
      <c r="S15" s="114"/>
      <c r="T15" s="114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5"/>
      <c r="AO15" s="151"/>
      <c r="AP15" s="117"/>
      <c r="AQ15" s="109"/>
      <c r="AR15" s="111"/>
      <c r="AS15" s="111"/>
      <c r="AT15" s="111"/>
      <c r="AU15" s="105"/>
      <c r="AV15" s="118"/>
      <c r="AW15" s="132"/>
      <c r="AX15" s="114"/>
    </row>
    <row r="16" spans="1:50" x14ac:dyDescent="0.25">
      <c r="A16" s="148" t="s">
        <v>181</v>
      </c>
      <c r="B16" s="105"/>
      <c r="C16" s="105"/>
      <c r="D16" s="105"/>
      <c r="E16" s="106"/>
      <c r="F16" s="107"/>
      <c r="G16" s="364"/>
      <c r="H16" s="229"/>
      <c r="I16" s="374"/>
      <c r="J16" s="374"/>
      <c r="K16" s="359"/>
      <c r="L16" s="374"/>
      <c r="M16" s="357"/>
      <c r="N16" s="357"/>
      <c r="O16" s="356"/>
      <c r="P16" s="240"/>
      <c r="Q16" s="109"/>
      <c r="R16" s="109"/>
      <c r="S16" s="114"/>
      <c r="T16" s="114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5"/>
      <c r="AO16" s="151"/>
      <c r="AP16" s="117"/>
      <c r="AQ16" s="109"/>
      <c r="AR16" s="111"/>
      <c r="AS16" s="111"/>
      <c r="AT16" s="111"/>
      <c r="AU16" s="105"/>
      <c r="AV16" s="118"/>
      <c r="AW16" s="132"/>
      <c r="AX16" s="114"/>
    </row>
    <row r="17" spans="1:50" x14ac:dyDescent="0.25">
      <c r="A17" s="152" t="s">
        <v>182</v>
      </c>
      <c r="B17" s="85"/>
      <c r="C17" s="70"/>
      <c r="D17" s="85"/>
      <c r="E17" s="86"/>
      <c r="G17" s="365"/>
      <c r="H17"/>
      <c r="I17" s="358"/>
      <c r="J17" s="358"/>
      <c r="K17" s="375"/>
      <c r="L17" s="373"/>
      <c r="M17" s="358"/>
      <c r="N17" s="358"/>
      <c r="O17"/>
      <c r="P17" s="242"/>
      <c r="Q17" s="75"/>
      <c r="R17" s="75"/>
      <c r="S17" s="88"/>
      <c r="T17" s="80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89"/>
      <c r="AO17" s="154"/>
      <c r="AP17" s="77"/>
      <c r="AQ17" s="75"/>
      <c r="AR17" s="83"/>
      <c r="AS17" s="83"/>
      <c r="AT17" s="83"/>
      <c r="AU17" s="70"/>
      <c r="AV17" s="92"/>
      <c r="AW17" s="126"/>
      <c r="AX17" s="80"/>
    </row>
    <row r="18" spans="1:50" x14ac:dyDescent="0.25">
      <c r="A18" s="152" t="s">
        <v>183</v>
      </c>
      <c r="B18" s="85"/>
      <c r="C18" s="85"/>
      <c r="D18" s="85"/>
      <c r="E18" s="86"/>
      <c r="G18" s="366"/>
      <c r="H18"/>
      <c r="I18" s="358"/>
      <c r="J18" s="358"/>
      <c r="K18" s="375"/>
      <c r="L18" s="373"/>
      <c r="M18" s="358"/>
      <c r="N18" s="358"/>
      <c r="O18"/>
      <c r="P18" s="241"/>
      <c r="Q18" s="75"/>
      <c r="R18" s="75"/>
      <c r="S18" s="88"/>
      <c r="T18" s="80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89"/>
      <c r="AO18" s="125"/>
      <c r="AP18" s="77"/>
      <c r="AQ18" s="75"/>
      <c r="AR18" s="83"/>
      <c r="AS18" s="83"/>
      <c r="AT18" s="83"/>
      <c r="AU18" s="70"/>
      <c r="AV18" s="92"/>
      <c r="AW18" s="126"/>
      <c r="AX18" s="80"/>
    </row>
    <row r="19" spans="1:50" x14ac:dyDescent="0.25">
      <c r="A19" s="148" t="s">
        <v>184</v>
      </c>
      <c r="B19" s="105"/>
      <c r="C19" s="105"/>
      <c r="D19" s="105"/>
      <c r="E19" s="106"/>
      <c r="F19" s="107"/>
      <c r="G19" s="364"/>
      <c r="H19" s="229"/>
      <c r="I19" s="374"/>
      <c r="J19" s="374"/>
      <c r="K19" s="359"/>
      <c r="L19" s="374"/>
      <c r="M19" s="357"/>
      <c r="N19" s="357"/>
      <c r="O19" s="356"/>
      <c r="P19" s="240"/>
      <c r="Q19" s="109"/>
      <c r="R19" s="109"/>
      <c r="S19" s="114"/>
      <c r="T19" s="114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5"/>
      <c r="AO19" s="151"/>
      <c r="AP19" s="117"/>
      <c r="AQ19" s="109"/>
      <c r="AR19" s="111"/>
      <c r="AS19" s="111"/>
      <c r="AT19" s="111"/>
      <c r="AU19" s="105"/>
      <c r="AV19" s="118"/>
      <c r="AW19" s="132"/>
      <c r="AX19" s="114"/>
    </row>
    <row r="20" spans="1:50" x14ac:dyDescent="0.25">
      <c r="A20" s="148" t="s">
        <v>185</v>
      </c>
      <c r="B20" s="105"/>
      <c r="C20" s="105"/>
      <c r="D20" s="105"/>
      <c r="E20" s="106"/>
      <c r="F20" s="107"/>
      <c r="G20" s="364"/>
      <c r="H20" s="229"/>
      <c r="I20" s="374"/>
      <c r="J20" s="374"/>
      <c r="K20" s="359"/>
      <c r="L20" s="374"/>
      <c r="M20" s="357"/>
      <c r="N20" s="357"/>
      <c r="O20" s="356"/>
      <c r="P20" s="240"/>
      <c r="Q20" s="109"/>
      <c r="R20" s="109"/>
      <c r="S20" s="114"/>
      <c r="T20" s="114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5"/>
      <c r="AO20" s="151"/>
      <c r="AP20" s="117"/>
      <c r="AQ20" s="109"/>
      <c r="AR20" s="111"/>
      <c r="AS20" s="111"/>
      <c r="AT20" s="111"/>
      <c r="AU20" s="105"/>
      <c r="AV20" s="118"/>
      <c r="AW20" s="132"/>
      <c r="AX20" s="114"/>
    </row>
    <row r="21" spans="1:50" x14ac:dyDescent="0.25">
      <c r="A21" s="148" t="s">
        <v>186</v>
      </c>
      <c r="B21" s="105"/>
      <c r="C21" s="105"/>
      <c r="D21" s="105"/>
      <c r="E21" s="106"/>
      <c r="F21" s="107"/>
      <c r="G21" s="364"/>
      <c r="H21" s="229"/>
      <c r="I21" s="374"/>
      <c r="J21" s="374"/>
      <c r="K21" s="359"/>
      <c r="L21" s="374"/>
      <c r="M21" s="357"/>
      <c r="N21" s="357"/>
      <c r="O21" s="356"/>
      <c r="P21" s="240"/>
      <c r="Q21" s="109"/>
      <c r="R21" s="109"/>
      <c r="S21" s="114"/>
      <c r="T21" s="114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5"/>
      <c r="AO21" s="151"/>
      <c r="AP21" s="117"/>
      <c r="AQ21" s="109"/>
      <c r="AR21" s="111"/>
      <c r="AS21" s="111"/>
      <c r="AT21" s="111"/>
      <c r="AU21" s="105"/>
      <c r="AV21" s="118"/>
      <c r="AW21" s="132"/>
      <c r="AX21" s="114"/>
    </row>
    <row r="22" spans="1:50" x14ac:dyDescent="0.25">
      <c r="A22" s="148" t="s">
        <v>187</v>
      </c>
      <c r="B22" s="105"/>
      <c r="C22" s="105"/>
      <c r="D22" s="105"/>
      <c r="E22" s="106"/>
      <c r="F22" s="107"/>
      <c r="G22" s="364"/>
      <c r="H22" s="229"/>
      <c r="I22" s="374"/>
      <c r="J22" s="374"/>
      <c r="K22" s="359"/>
      <c r="L22" s="374"/>
      <c r="M22" s="357"/>
      <c r="N22" s="357"/>
      <c r="O22" s="356"/>
      <c r="P22" s="240"/>
      <c r="Q22" s="109"/>
      <c r="R22" s="109"/>
      <c r="S22" s="114"/>
      <c r="T22" s="114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5"/>
      <c r="AO22" s="151"/>
      <c r="AP22" s="117"/>
      <c r="AQ22" s="109"/>
      <c r="AR22" s="111"/>
      <c r="AS22" s="111"/>
      <c r="AT22" s="111"/>
      <c r="AU22" s="105"/>
      <c r="AV22" s="118"/>
      <c r="AW22" s="132"/>
      <c r="AX22" s="114"/>
    </row>
    <row r="23" spans="1:50" x14ac:dyDescent="0.25">
      <c r="A23" s="148" t="s">
        <v>188</v>
      </c>
      <c r="B23" s="105"/>
      <c r="C23" s="105"/>
      <c r="D23" s="105"/>
      <c r="E23" s="106"/>
      <c r="F23" s="107"/>
      <c r="G23" s="364"/>
      <c r="H23" s="229"/>
      <c r="I23" s="374"/>
      <c r="J23" s="374"/>
      <c r="K23" s="359"/>
      <c r="L23" s="374"/>
      <c r="M23" s="357"/>
      <c r="N23" s="357"/>
      <c r="O23" s="356"/>
      <c r="P23" s="240"/>
      <c r="Q23" s="109"/>
      <c r="R23" s="109"/>
      <c r="S23" s="114"/>
      <c r="T23" s="114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5"/>
      <c r="AO23" s="151"/>
      <c r="AP23" s="117"/>
      <c r="AQ23" s="109"/>
      <c r="AR23" s="111"/>
      <c r="AS23" s="111"/>
      <c r="AT23" s="111"/>
      <c r="AU23" s="105"/>
      <c r="AV23" s="118"/>
      <c r="AW23" s="132"/>
      <c r="AX23" s="114"/>
    </row>
    <row r="24" spans="1:50" x14ac:dyDescent="0.25">
      <c r="A24" s="148" t="s">
        <v>189</v>
      </c>
      <c r="B24" s="105"/>
      <c r="C24" s="105"/>
      <c r="D24" s="105"/>
      <c r="E24" s="106"/>
      <c r="F24" s="107"/>
      <c r="G24" s="364"/>
      <c r="H24" s="229"/>
      <c r="I24" s="374"/>
      <c r="J24" s="374"/>
      <c r="K24" s="359"/>
      <c r="L24" s="374"/>
      <c r="M24" s="357"/>
      <c r="N24" s="357"/>
      <c r="O24" s="356"/>
      <c r="P24" s="240"/>
      <c r="Q24" s="109"/>
      <c r="R24" s="109"/>
      <c r="S24" s="114"/>
      <c r="T24" s="114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5"/>
      <c r="AO24" s="151"/>
      <c r="AP24" s="117"/>
      <c r="AQ24" s="109"/>
      <c r="AR24" s="111"/>
      <c r="AS24" s="111"/>
      <c r="AT24" s="111"/>
      <c r="AU24" s="105"/>
      <c r="AV24" s="118"/>
      <c r="AW24" s="132"/>
      <c r="AX24" s="114"/>
    </row>
    <row r="25" spans="1:50" x14ac:dyDescent="0.25">
      <c r="A25" s="148" t="s">
        <v>190</v>
      </c>
      <c r="B25" s="105"/>
      <c r="C25" s="105"/>
      <c r="D25" s="105"/>
      <c r="E25" s="106"/>
      <c r="F25" s="107"/>
      <c r="G25" s="364"/>
      <c r="H25" s="229"/>
      <c r="I25" s="374"/>
      <c r="J25" s="374"/>
      <c r="K25" s="359"/>
      <c r="L25" s="374"/>
      <c r="M25" s="357"/>
      <c r="N25" s="357"/>
      <c r="O25" s="356"/>
      <c r="P25" s="240"/>
      <c r="Q25" s="109"/>
      <c r="R25" s="109"/>
      <c r="S25" s="114"/>
      <c r="T25" s="114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5"/>
      <c r="AO25" s="151"/>
      <c r="AP25" s="117"/>
      <c r="AQ25" s="109"/>
      <c r="AR25" s="111"/>
      <c r="AS25" s="111"/>
      <c r="AT25" s="111"/>
      <c r="AU25" s="105"/>
      <c r="AV25" s="118"/>
      <c r="AW25" s="132"/>
      <c r="AX25" s="114"/>
    </row>
    <row r="26" spans="1:50" x14ac:dyDescent="0.25">
      <c r="A26" s="148" t="s">
        <v>191</v>
      </c>
      <c r="B26" s="105"/>
      <c r="C26" s="105"/>
      <c r="D26" s="105"/>
      <c r="E26" s="106"/>
      <c r="F26" s="107"/>
      <c r="G26" s="364"/>
      <c r="H26" s="229"/>
      <c r="I26" s="374"/>
      <c r="J26" s="374"/>
      <c r="K26" s="359"/>
      <c r="L26" s="374"/>
      <c r="M26" s="357"/>
      <c r="N26" s="357"/>
      <c r="O26" s="356"/>
      <c r="P26" s="240"/>
      <c r="Q26" s="109"/>
      <c r="R26" s="109"/>
      <c r="S26" s="114"/>
      <c r="T26" s="114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5"/>
      <c r="AO26" s="151"/>
      <c r="AP26" s="117"/>
      <c r="AQ26" s="109"/>
      <c r="AR26" s="111"/>
      <c r="AS26" s="111"/>
      <c r="AT26" s="111"/>
      <c r="AU26" s="105"/>
      <c r="AV26" s="118"/>
      <c r="AW26" s="132"/>
      <c r="AX26" s="114"/>
    </row>
    <row r="27" spans="1:50" x14ac:dyDescent="0.25">
      <c r="A27" s="155" t="s">
        <v>192</v>
      </c>
      <c r="B27" s="93"/>
      <c r="C27" s="93"/>
      <c r="D27" s="93"/>
      <c r="E27" s="94"/>
      <c r="F27" s="95"/>
      <c r="G27" s="367"/>
      <c r="H27" s="370"/>
      <c r="I27" s="377"/>
      <c r="J27" s="377"/>
      <c r="K27" s="378"/>
      <c r="L27" s="377"/>
      <c r="M27" s="379"/>
      <c r="N27" s="379"/>
      <c r="O27" s="371"/>
      <c r="P27" s="243"/>
      <c r="Q27" s="99"/>
      <c r="R27" s="99"/>
      <c r="S27" s="100"/>
      <c r="T27" s="100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2"/>
      <c r="AO27" s="164"/>
      <c r="AP27" s="103"/>
      <c r="AQ27" s="99"/>
      <c r="AR27" s="96"/>
      <c r="AS27" s="96"/>
      <c r="AT27" s="96"/>
      <c r="AU27" s="93"/>
      <c r="AV27" s="104"/>
      <c r="AW27" s="129"/>
      <c r="AX27" s="100"/>
    </row>
    <row r="28" spans="1:50" x14ac:dyDescent="0.25">
      <c r="A28" s="148" t="s">
        <v>193</v>
      </c>
      <c r="B28" s="105"/>
      <c r="C28" s="105"/>
      <c r="D28" s="105"/>
      <c r="E28" s="106"/>
      <c r="F28" s="107"/>
      <c r="G28" s="364"/>
      <c r="H28" s="229"/>
      <c r="I28" s="374"/>
      <c r="J28" s="374"/>
      <c r="K28" s="359"/>
      <c r="L28" s="374"/>
      <c r="M28" s="357"/>
      <c r="N28" s="357"/>
      <c r="O28" s="356"/>
      <c r="P28" s="240"/>
      <c r="Q28" s="109"/>
      <c r="R28" s="109"/>
      <c r="S28" s="114"/>
      <c r="T28" s="114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5"/>
      <c r="AO28" s="151"/>
      <c r="AP28" s="117"/>
      <c r="AQ28" s="109"/>
      <c r="AR28" s="111"/>
      <c r="AS28" s="111"/>
      <c r="AT28" s="111"/>
      <c r="AU28" s="105"/>
      <c r="AV28" s="118"/>
      <c r="AW28" s="132"/>
      <c r="AX28" s="114"/>
    </row>
    <row r="29" spans="1:50" x14ac:dyDescent="0.25">
      <c r="A29" s="148" t="s">
        <v>194</v>
      </c>
      <c r="B29" s="105"/>
      <c r="C29" s="105"/>
      <c r="D29" s="105"/>
      <c r="E29" s="106"/>
      <c r="F29" s="107"/>
      <c r="G29" s="364"/>
      <c r="H29" s="229"/>
      <c r="I29" s="374"/>
      <c r="J29" s="374"/>
      <c r="K29" s="359"/>
      <c r="L29" s="374"/>
      <c r="M29" s="357"/>
      <c r="N29" s="357"/>
      <c r="O29" s="356"/>
      <c r="P29" s="240"/>
      <c r="Q29" s="109"/>
      <c r="R29" s="109"/>
      <c r="S29" s="114"/>
      <c r="T29" s="114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5"/>
      <c r="AO29" s="151"/>
      <c r="AP29" s="117"/>
      <c r="AQ29" s="109"/>
      <c r="AR29" s="111"/>
      <c r="AS29" s="111"/>
      <c r="AT29" s="111"/>
      <c r="AU29" s="105"/>
      <c r="AV29" s="118"/>
      <c r="AW29" s="132"/>
      <c r="AX29" s="114"/>
    </row>
    <row r="30" spans="1:50" x14ac:dyDescent="0.25">
      <c r="A30" s="148" t="s">
        <v>195</v>
      </c>
      <c r="B30" s="105"/>
      <c r="C30" s="105"/>
      <c r="D30" s="105"/>
      <c r="E30" s="106"/>
      <c r="F30" s="107"/>
      <c r="G30" s="364"/>
      <c r="H30" s="229"/>
      <c r="I30" s="374"/>
      <c r="J30" s="374"/>
      <c r="K30" s="359"/>
      <c r="L30" s="374"/>
      <c r="M30" s="357"/>
      <c r="N30" s="357"/>
      <c r="O30" s="356"/>
      <c r="P30" s="240"/>
      <c r="Q30" s="109"/>
      <c r="R30" s="109"/>
      <c r="S30" s="114"/>
      <c r="T30" s="114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5"/>
      <c r="AO30" s="151"/>
      <c r="AP30" s="117"/>
      <c r="AQ30" s="109"/>
      <c r="AR30" s="111"/>
      <c r="AS30" s="111"/>
      <c r="AT30" s="111"/>
      <c r="AU30" s="105"/>
      <c r="AV30" s="118"/>
      <c r="AW30" s="132"/>
      <c r="AX30" s="114"/>
    </row>
    <row r="31" spans="1:50" x14ac:dyDescent="0.25">
      <c r="A31" s="148" t="s">
        <v>196</v>
      </c>
      <c r="B31" s="105"/>
      <c r="C31" s="105"/>
      <c r="D31" s="105"/>
      <c r="E31" s="106"/>
      <c r="F31" s="107"/>
      <c r="G31" s="364"/>
      <c r="H31" s="229"/>
      <c r="I31" s="374"/>
      <c r="J31" s="374"/>
      <c r="K31" s="359"/>
      <c r="L31" s="374"/>
      <c r="M31" s="357"/>
      <c r="N31" s="357"/>
      <c r="O31" s="356"/>
      <c r="P31" s="240"/>
      <c r="Q31" s="109"/>
      <c r="R31" s="109"/>
      <c r="S31" s="114"/>
      <c r="T31" s="114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5"/>
      <c r="AO31" s="151"/>
      <c r="AP31" s="117"/>
      <c r="AQ31" s="109"/>
      <c r="AR31" s="111"/>
      <c r="AS31" s="111"/>
      <c r="AT31" s="111"/>
      <c r="AU31" s="105"/>
      <c r="AV31" s="118"/>
      <c r="AW31" s="132"/>
      <c r="AX31" s="114"/>
    </row>
    <row r="32" spans="1:50" x14ac:dyDescent="0.25">
      <c r="A32" s="148" t="s">
        <v>197</v>
      </c>
      <c r="B32" s="105"/>
      <c r="C32" s="105"/>
      <c r="D32" s="105"/>
      <c r="E32" s="106"/>
      <c r="F32" s="107"/>
      <c r="G32" s="364"/>
      <c r="H32" s="229"/>
      <c r="I32" s="374"/>
      <c r="J32" s="374"/>
      <c r="K32" s="359"/>
      <c r="L32" s="374"/>
      <c r="M32" s="357"/>
      <c r="N32" s="357"/>
      <c r="O32" s="356"/>
      <c r="P32" s="240"/>
      <c r="Q32" s="109"/>
      <c r="R32" s="109"/>
      <c r="S32" s="114"/>
      <c r="T32" s="114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5"/>
      <c r="AO32" s="151"/>
      <c r="AP32" s="117"/>
      <c r="AQ32" s="109"/>
      <c r="AR32" s="111"/>
      <c r="AS32" s="111"/>
      <c r="AT32" s="111"/>
      <c r="AU32" s="105"/>
      <c r="AV32" s="118"/>
      <c r="AW32" s="132"/>
      <c r="AX32" s="114"/>
    </row>
    <row r="33" spans="1:50" x14ac:dyDescent="0.25">
      <c r="A33" s="148" t="s">
        <v>198</v>
      </c>
      <c r="B33" s="105"/>
      <c r="C33" s="105"/>
      <c r="D33" s="105"/>
      <c r="E33" s="106"/>
      <c r="F33" s="107"/>
      <c r="G33" s="364"/>
      <c r="H33" s="229"/>
      <c r="I33" s="374"/>
      <c r="J33" s="374"/>
      <c r="K33" s="359"/>
      <c r="L33" s="374"/>
      <c r="M33" s="357"/>
      <c r="N33" s="357"/>
      <c r="O33" s="356"/>
      <c r="P33" s="240"/>
      <c r="Q33" s="109"/>
      <c r="R33" s="109"/>
      <c r="S33" s="114"/>
      <c r="T33" s="114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5"/>
      <c r="AO33" s="151"/>
      <c r="AP33" s="117"/>
      <c r="AQ33" s="109"/>
      <c r="AR33" s="111"/>
      <c r="AS33" s="111"/>
      <c r="AT33" s="111"/>
      <c r="AU33" s="105"/>
      <c r="AV33" s="118"/>
      <c r="AW33" s="132"/>
      <c r="AX33" s="114"/>
    </row>
    <row r="34" spans="1:50" x14ac:dyDescent="0.25">
      <c r="A34" s="148" t="s">
        <v>199</v>
      </c>
      <c r="B34" s="105"/>
      <c r="C34" s="105"/>
      <c r="D34" s="105"/>
      <c r="E34" s="106"/>
      <c r="F34" s="107"/>
      <c r="G34" s="364"/>
      <c r="H34" s="229"/>
      <c r="I34" s="374"/>
      <c r="J34" s="374"/>
      <c r="K34" s="359"/>
      <c r="L34" s="374"/>
      <c r="M34" s="357"/>
      <c r="N34" s="357"/>
      <c r="O34" s="356"/>
      <c r="P34" s="240"/>
      <c r="Q34" s="109"/>
      <c r="R34" s="109"/>
      <c r="S34" s="114"/>
      <c r="T34" s="114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5"/>
      <c r="AO34" s="151"/>
      <c r="AP34" s="117"/>
      <c r="AQ34" s="109"/>
      <c r="AR34" s="111"/>
      <c r="AS34" s="111"/>
      <c r="AT34" s="111"/>
      <c r="AU34" s="105"/>
      <c r="AV34" s="118"/>
      <c r="AW34" s="132"/>
      <c r="AX34" s="114"/>
    </row>
    <row r="35" spans="1:50" x14ac:dyDescent="0.25">
      <c r="A35" s="148" t="s">
        <v>200</v>
      </c>
      <c r="B35" s="105"/>
      <c r="C35" s="105"/>
      <c r="D35" s="105"/>
      <c r="E35" s="106"/>
      <c r="F35" s="107"/>
      <c r="G35" s="364"/>
      <c r="H35" s="229"/>
      <c r="I35" s="374"/>
      <c r="J35" s="374"/>
      <c r="K35" s="359"/>
      <c r="L35" s="374"/>
      <c r="M35" s="357"/>
      <c r="N35" s="357"/>
      <c r="O35" s="356"/>
      <c r="P35" s="240"/>
      <c r="Q35" s="109"/>
      <c r="R35" s="109"/>
      <c r="S35" s="114"/>
      <c r="T35" s="114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5"/>
      <c r="AO35" s="151"/>
      <c r="AP35" s="117"/>
      <c r="AQ35" s="109"/>
      <c r="AR35" s="111"/>
      <c r="AS35" s="111"/>
      <c r="AT35" s="111"/>
      <c r="AU35" s="105"/>
      <c r="AV35" s="118"/>
      <c r="AW35" s="132"/>
      <c r="AX35" s="114"/>
    </row>
    <row r="36" spans="1:50" x14ac:dyDescent="0.25">
      <c r="A36" s="148" t="s">
        <v>201</v>
      </c>
      <c r="B36" s="105"/>
      <c r="C36" s="105"/>
      <c r="D36" s="105"/>
      <c r="E36" s="106"/>
      <c r="F36" s="107"/>
      <c r="G36" s="364"/>
      <c r="H36" s="229"/>
      <c r="I36" s="374"/>
      <c r="J36" s="374"/>
      <c r="K36" s="359"/>
      <c r="L36" s="374"/>
      <c r="M36" s="357"/>
      <c r="N36" s="357"/>
      <c r="O36" s="356"/>
      <c r="P36" s="240"/>
      <c r="Q36" s="109"/>
      <c r="R36" s="109"/>
      <c r="S36" s="114"/>
      <c r="T36" s="114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5"/>
      <c r="AO36" s="151"/>
      <c r="AP36" s="117"/>
      <c r="AQ36" s="109"/>
      <c r="AR36" s="111"/>
      <c r="AS36" s="111"/>
      <c r="AT36" s="111"/>
      <c r="AU36" s="105"/>
      <c r="AV36" s="118"/>
      <c r="AW36" s="132"/>
      <c r="AX36" s="114"/>
    </row>
    <row r="37" spans="1:50" x14ac:dyDescent="0.25">
      <c r="A37" s="152" t="s">
        <v>202</v>
      </c>
      <c r="B37" s="86"/>
      <c r="C37" s="16"/>
      <c r="D37" s="85"/>
      <c r="E37" s="85"/>
      <c r="F37" s="196"/>
      <c r="G37" s="365"/>
      <c r="H37"/>
      <c r="I37" s="358"/>
      <c r="J37" s="358"/>
      <c r="K37" s="375"/>
      <c r="L37" s="373"/>
      <c r="M37" s="376"/>
      <c r="N37" s="376"/>
      <c r="O37" s="17"/>
      <c r="P37" s="241"/>
      <c r="Q37" s="75"/>
      <c r="R37" s="75"/>
      <c r="S37" s="88"/>
      <c r="T37" s="80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89"/>
      <c r="AO37" s="154"/>
      <c r="AP37" s="77"/>
      <c r="AQ37" s="75"/>
      <c r="AR37" s="83"/>
      <c r="AS37" s="83"/>
      <c r="AT37" s="83"/>
      <c r="AU37" s="70"/>
      <c r="AV37" s="92"/>
      <c r="AW37" s="126"/>
      <c r="AX37" s="80"/>
    </row>
    <row r="38" spans="1:50" x14ac:dyDescent="0.25">
      <c r="A38" s="152" t="s">
        <v>203</v>
      </c>
      <c r="B38" s="85"/>
      <c r="C38" s="85"/>
      <c r="D38" s="85"/>
      <c r="E38" s="62"/>
      <c r="F38" s="63"/>
      <c r="G38" s="365"/>
      <c r="H38" s="19"/>
      <c r="I38" s="373"/>
      <c r="J38" s="373"/>
      <c r="K38" s="375"/>
      <c r="L38" s="373"/>
      <c r="M38" s="376"/>
      <c r="N38" s="376"/>
      <c r="O38" s="17"/>
      <c r="P38" s="242"/>
      <c r="Q38" s="75"/>
      <c r="R38" s="75"/>
      <c r="S38" s="213"/>
      <c r="T38" s="80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89"/>
      <c r="AO38" s="125"/>
      <c r="AP38" s="77"/>
      <c r="AQ38" s="75"/>
      <c r="AR38" s="83"/>
      <c r="AS38" s="83"/>
      <c r="AT38" s="83"/>
      <c r="AU38" s="70"/>
      <c r="AV38" s="92"/>
      <c r="AW38" s="126"/>
      <c r="AX38" s="80"/>
    </row>
    <row r="39" spans="1:50" x14ac:dyDescent="0.25">
      <c r="A39" s="152" t="s">
        <v>204</v>
      </c>
      <c r="B39" s="85"/>
      <c r="C39" s="85"/>
      <c r="D39" s="85"/>
      <c r="E39" s="62"/>
      <c r="F39" s="173"/>
      <c r="G39" s="365"/>
      <c r="H39" s="19"/>
      <c r="I39" s="373"/>
      <c r="J39" s="373"/>
      <c r="K39" s="375"/>
      <c r="L39" s="373"/>
      <c r="M39" s="376"/>
      <c r="N39" s="376"/>
      <c r="O39" s="17"/>
      <c r="P39" s="242"/>
      <c r="Q39" s="75"/>
      <c r="R39" s="75"/>
      <c r="S39" s="213"/>
      <c r="T39" s="80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89"/>
      <c r="AO39" s="125"/>
      <c r="AP39" s="77"/>
      <c r="AQ39" s="75"/>
      <c r="AR39" s="83"/>
      <c r="AS39" s="83"/>
      <c r="AT39" s="83"/>
      <c r="AU39" s="70"/>
      <c r="AV39" s="92"/>
      <c r="AW39" s="126"/>
      <c r="AX39" s="80"/>
    </row>
    <row r="40" spans="1:50" x14ac:dyDescent="0.25">
      <c r="A40" s="152" t="s">
        <v>205</v>
      </c>
      <c r="B40" s="86"/>
      <c r="C40" s="16"/>
      <c r="D40" s="85"/>
      <c r="E40" s="85"/>
      <c r="F40" s="196"/>
      <c r="G40" s="365"/>
      <c r="H40"/>
      <c r="I40" s="358"/>
      <c r="J40" s="358"/>
      <c r="K40" s="372"/>
      <c r="L40" s="373"/>
      <c r="M40" s="358"/>
      <c r="N40" s="358"/>
      <c r="O40"/>
      <c r="P40" s="242"/>
      <c r="Q40" s="75"/>
      <c r="R40" s="75"/>
      <c r="S40" s="213"/>
      <c r="T40" s="80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89"/>
      <c r="AO40" s="154"/>
      <c r="AP40" s="77"/>
      <c r="AQ40" s="75"/>
      <c r="AR40" s="83"/>
      <c r="AS40" s="83"/>
      <c r="AT40" s="83"/>
      <c r="AU40" s="70"/>
      <c r="AV40" s="92"/>
      <c r="AW40" s="126"/>
      <c r="AX40" s="80"/>
    </row>
    <row r="41" spans="1:50" x14ac:dyDescent="0.25">
      <c r="A41" s="148" t="s">
        <v>206</v>
      </c>
      <c r="B41" s="105"/>
      <c r="C41" s="105"/>
      <c r="D41" s="105"/>
      <c r="E41" s="106"/>
      <c r="F41" s="107"/>
      <c r="G41" s="364"/>
      <c r="H41" s="229"/>
      <c r="I41" s="374"/>
      <c r="J41" s="374"/>
      <c r="K41" s="359"/>
      <c r="L41" s="374"/>
      <c r="M41" s="357"/>
      <c r="N41" s="357"/>
      <c r="O41" s="356"/>
      <c r="P41" s="240"/>
      <c r="Q41" s="109"/>
      <c r="R41" s="109"/>
      <c r="S41" s="114"/>
      <c r="T41" s="114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5"/>
      <c r="AO41" s="151"/>
      <c r="AP41" s="117"/>
      <c r="AQ41" s="109"/>
      <c r="AR41" s="111"/>
      <c r="AS41" s="111"/>
      <c r="AT41" s="111"/>
      <c r="AU41" s="105"/>
      <c r="AV41" s="118"/>
      <c r="AW41" s="132"/>
      <c r="AX41" s="114"/>
    </row>
    <row r="42" spans="1:50" x14ac:dyDescent="0.25">
      <c r="A42" s="152" t="s">
        <v>207</v>
      </c>
      <c r="B42" s="85"/>
      <c r="C42" s="85"/>
      <c r="D42" s="85"/>
      <c r="E42" s="62"/>
      <c r="F42" s="63"/>
      <c r="G42" s="365"/>
      <c r="H42"/>
      <c r="I42" s="358"/>
      <c r="J42" s="358"/>
      <c r="K42" s="375"/>
      <c r="L42" s="373"/>
      <c r="M42" s="358"/>
      <c r="N42" s="358"/>
      <c r="O42"/>
      <c r="P42" s="242"/>
      <c r="Q42" s="75"/>
      <c r="R42" s="75"/>
      <c r="S42" s="213"/>
      <c r="T42" s="80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89"/>
      <c r="AO42" s="125"/>
      <c r="AP42" s="77"/>
      <c r="AQ42" s="75"/>
      <c r="AR42" s="83"/>
      <c r="AS42" s="83"/>
      <c r="AT42" s="83"/>
      <c r="AU42" s="70"/>
      <c r="AV42" s="92"/>
      <c r="AW42" s="126"/>
      <c r="AX42" s="80"/>
    </row>
    <row r="43" spans="1:50" x14ac:dyDescent="0.25">
      <c r="A43" s="152" t="s">
        <v>208</v>
      </c>
      <c r="B43" s="85"/>
      <c r="C43" s="85"/>
      <c r="D43" s="85"/>
      <c r="E43" s="62"/>
      <c r="F43" s="63"/>
      <c r="G43" s="365"/>
      <c r="H43" s="19"/>
      <c r="I43" s="373"/>
      <c r="J43" s="373"/>
      <c r="K43" s="375"/>
      <c r="L43" s="373"/>
      <c r="M43" s="376"/>
      <c r="N43" s="376"/>
      <c r="O43" s="17"/>
      <c r="P43" s="242"/>
      <c r="Q43" s="75"/>
      <c r="R43" s="75"/>
      <c r="S43" s="213"/>
      <c r="T43" s="80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89"/>
      <c r="AO43" s="125"/>
      <c r="AP43" s="77"/>
      <c r="AQ43" s="75"/>
      <c r="AR43" s="83"/>
      <c r="AS43" s="83"/>
      <c r="AT43" s="83"/>
      <c r="AU43" s="70"/>
      <c r="AV43" s="92"/>
      <c r="AW43" s="126"/>
      <c r="AX43" s="80"/>
    </row>
    <row r="44" spans="1:50" x14ac:dyDescent="0.25">
      <c r="A44" s="148" t="s">
        <v>209</v>
      </c>
      <c r="B44" s="105"/>
      <c r="C44" s="105"/>
      <c r="D44" s="105"/>
      <c r="E44" s="106"/>
      <c r="F44" s="107"/>
      <c r="G44" s="364"/>
      <c r="H44" s="229"/>
      <c r="I44" s="374"/>
      <c r="J44" s="374"/>
      <c r="K44" s="359"/>
      <c r="L44" s="374"/>
      <c r="M44" s="357"/>
      <c r="N44" s="357"/>
      <c r="O44" s="356"/>
      <c r="P44" s="240"/>
      <c r="Q44" s="109"/>
      <c r="R44" s="109"/>
      <c r="S44" s="114"/>
      <c r="T44" s="114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5"/>
      <c r="AO44" s="151"/>
      <c r="AP44" s="117"/>
      <c r="AQ44" s="109"/>
      <c r="AR44" s="111"/>
      <c r="AS44" s="111"/>
      <c r="AT44" s="111"/>
      <c r="AU44" s="105"/>
      <c r="AV44" s="118"/>
      <c r="AW44" s="132"/>
      <c r="AX44" s="114"/>
    </row>
    <row r="45" spans="1:50" x14ac:dyDescent="0.25">
      <c r="A45" s="155" t="s">
        <v>210</v>
      </c>
      <c r="B45" s="105"/>
      <c r="C45" s="105"/>
      <c r="D45" s="105"/>
      <c r="E45" s="106"/>
      <c r="F45" s="107"/>
      <c r="G45" s="364"/>
      <c r="H45" s="229"/>
      <c r="I45" s="374"/>
      <c r="J45" s="374"/>
      <c r="K45" s="359"/>
      <c r="L45" s="374"/>
      <c r="M45" s="357"/>
      <c r="N45" s="357"/>
      <c r="O45" s="356"/>
      <c r="P45" s="240"/>
      <c r="Q45" s="109"/>
      <c r="R45" s="109"/>
      <c r="S45" s="114"/>
      <c r="T45" s="114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20"/>
      <c r="AO45" s="151"/>
      <c r="AP45" s="117"/>
      <c r="AQ45" s="109"/>
      <c r="AR45" s="111"/>
      <c r="AS45" s="111"/>
      <c r="AT45" s="111"/>
      <c r="AU45" s="105"/>
      <c r="AV45" s="118"/>
      <c r="AW45" s="132"/>
      <c r="AX45" s="114"/>
    </row>
    <row r="46" spans="1:50" x14ac:dyDescent="0.25">
      <c r="A46" s="152" t="s">
        <v>211</v>
      </c>
      <c r="B46" s="85"/>
      <c r="C46" s="85"/>
      <c r="D46" s="85"/>
      <c r="E46" s="62"/>
      <c r="F46" s="63"/>
      <c r="G46" s="365"/>
      <c r="H46"/>
      <c r="I46" s="358"/>
      <c r="J46" s="358"/>
      <c r="K46" s="375"/>
      <c r="L46" s="373"/>
      <c r="M46" s="358"/>
      <c r="N46" s="358"/>
      <c r="O46"/>
      <c r="P46" s="242"/>
      <c r="Q46" s="75"/>
      <c r="R46" s="75"/>
      <c r="S46" s="213"/>
      <c r="T46" s="80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89"/>
      <c r="AO46" s="125"/>
      <c r="AP46" s="77"/>
      <c r="AQ46" s="75"/>
      <c r="AR46" s="83"/>
      <c r="AS46" s="83"/>
      <c r="AT46" s="83"/>
      <c r="AU46" s="70"/>
      <c r="AV46" s="92"/>
      <c r="AW46" s="126"/>
      <c r="AX46" s="80"/>
    </row>
    <row r="47" spans="1:50" x14ac:dyDescent="0.25">
      <c r="A47" s="152" t="s">
        <v>212</v>
      </c>
      <c r="B47" s="86"/>
      <c r="C47" s="16"/>
      <c r="D47" s="85"/>
      <c r="E47" s="85"/>
      <c r="F47" s="196"/>
      <c r="G47" s="365"/>
      <c r="H47"/>
      <c r="I47" s="358"/>
      <c r="J47" s="358"/>
      <c r="K47" s="372"/>
      <c r="L47" s="373"/>
      <c r="M47" s="358"/>
      <c r="N47" s="358"/>
      <c r="O47"/>
      <c r="P47" s="241"/>
      <c r="Q47" s="75"/>
      <c r="R47" s="75"/>
      <c r="S47" s="213"/>
      <c r="T47" s="80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89"/>
      <c r="AO47" s="125"/>
      <c r="AP47" s="77"/>
      <c r="AQ47" s="75"/>
      <c r="AR47" s="83"/>
      <c r="AS47" s="83"/>
      <c r="AT47" s="83"/>
      <c r="AU47" s="70"/>
      <c r="AV47" s="92"/>
      <c r="AW47" s="126"/>
      <c r="AX47" s="80"/>
    </row>
    <row r="48" spans="1:50" x14ac:dyDescent="0.25">
      <c r="A48" s="105" t="s">
        <v>213</v>
      </c>
      <c r="B48" s="132"/>
      <c r="C48" s="132"/>
      <c r="D48" s="132"/>
      <c r="E48" s="132"/>
      <c r="F48" s="132"/>
      <c r="G48" s="368"/>
      <c r="H48" s="132"/>
      <c r="I48" s="380"/>
      <c r="J48" s="380"/>
      <c r="K48" s="380"/>
      <c r="L48" s="380"/>
      <c r="M48" s="380"/>
      <c r="N48" s="380"/>
      <c r="O48" s="132"/>
      <c r="P48" s="244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57"/>
      <c r="AO48" s="165"/>
      <c r="AP48" s="132"/>
      <c r="AQ48" s="132"/>
      <c r="AR48" s="132"/>
      <c r="AS48" s="132"/>
      <c r="AT48" s="132"/>
      <c r="AU48" s="166"/>
      <c r="AV48" s="132"/>
      <c r="AW48" s="132"/>
      <c r="AX48" s="167"/>
    </row>
    <row r="49" spans="1:50" x14ac:dyDescent="0.25">
      <c r="A49" s="105" t="s">
        <v>214</v>
      </c>
      <c r="B49" s="132"/>
      <c r="C49" s="132"/>
      <c r="D49" s="132"/>
      <c r="E49" s="132"/>
      <c r="F49" s="132"/>
      <c r="G49" s="368"/>
      <c r="H49" s="132"/>
      <c r="I49" s="380"/>
      <c r="J49" s="380"/>
      <c r="K49" s="380"/>
      <c r="L49" s="380"/>
      <c r="M49" s="380"/>
      <c r="N49" s="380"/>
      <c r="O49" s="132"/>
      <c r="P49" s="244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57"/>
      <c r="AO49" s="165"/>
      <c r="AP49" s="132"/>
      <c r="AQ49" s="132"/>
      <c r="AR49" s="132"/>
      <c r="AS49" s="132"/>
      <c r="AT49" s="132"/>
      <c r="AU49" s="166"/>
      <c r="AV49" s="132"/>
      <c r="AW49" s="132"/>
      <c r="AX49" s="167"/>
    </row>
    <row r="50" spans="1:50" x14ac:dyDescent="0.25">
      <c r="A50" s="152" t="s">
        <v>215</v>
      </c>
      <c r="B50" s="85"/>
      <c r="C50" s="85"/>
      <c r="D50" s="85"/>
      <c r="E50" s="62"/>
      <c r="F50" s="63"/>
      <c r="G50" s="365"/>
      <c r="H50"/>
      <c r="I50" s="358"/>
      <c r="J50" s="358"/>
      <c r="K50" s="375"/>
      <c r="L50" s="373"/>
      <c r="M50" s="376"/>
      <c r="N50" s="376"/>
      <c r="O50" s="17"/>
      <c r="P50" s="242"/>
      <c r="Q50" s="75"/>
      <c r="R50" s="75"/>
      <c r="S50" s="213"/>
      <c r="T50" s="80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89"/>
      <c r="AO50" s="125"/>
      <c r="AP50" s="77"/>
      <c r="AQ50" s="75"/>
      <c r="AR50" s="83"/>
      <c r="AS50" s="83"/>
      <c r="AT50" s="83"/>
      <c r="AU50" s="70"/>
      <c r="AV50" s="92"/>
      <c r="AW50" s="126"/>
      <c r="AX50" s="80"/>
    </row>
    <row r="51" spans="1:50" x14ac:dyDescent="0.25">
      <c r="A51" s="152" t="s">
        <v>216</v>
      </c>
      <c r="B51" s="85"/>
      <c r="C51" s="85"/>
      <c r="D51" s="85"/>
      <c r="E51" s="62"/>
      <c r="F51" s="63"/>
      <c r="G51" s="365"/>
      <c r="H51"/>
      <c r="I51" s="358"/>
      <c r="J51" s="358"/>
      <c r="K51" s="375"/>
      <c r="L51" s="373"/>
      <c r="M51" s="358"/>
      <c r="N51" s="358"/>
      <c r="O51"/>
      <c r="P51" s="242"/>
      <c r="Q51" s="75"/>
      <c r="R51" s="75"/>
      <c r="S51" s="213"/>
      <c r="T51" s="80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89"/>
      <c r="AO51" s="125"/>
      <c r="AP51" s="77"/>
      <c r="AQ51" s="75"/>
      <c r="AR51" s="83"/>
      <c r="AS51" s="83"/>
      <c r="AT51" s="83"/>
      <c r="AU51" s="70"/>
      <c r="AV51" s="92"/>
      <c r="AW51" s="126"/>
      <c r="AX51" s="80"/>
    </row>
    <row r="52" spans="1:50" x14ac:dyDescent="0.25">
      <c r="A52" s="148" t="s">
        <v>217</v>
      </c>
      <c r="B52" s="105"/>
      <c r="C52" s="105"/>
      <c r="D52" s="105"/>
      <c r="E52" s="106"/>
      <c r="F52" s="107"/>
      <c r="G52" s="364"/>
      <c r="H52" s="229"/>
      <c r="I52" s="374"/>
      <c r="J52" s="374"/>
      <c r="K52" s="359"/>
      <c r="L52" s="374"/>
      <c r="M52" s="357"/>
      <c r="N52" s="357"/>
      <c r="O52" s="356"/>
      <c r="P52" s="240"/>
      <c r="Q52" s="109"/>
      <c r="R52" s="109"/>
      <c r="S52" s="114"/>
      <c r="T52" s="114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57"/>
      <c r="AO52" s="151"/>
      <c r="AP52" s="117"/>
      <c r="AQ52" s="109"/>
      <c r="AR52" s="111"/>
      <c r="AS52" s="111"/>
      <c r="AT52" s="111"/>
      <c r="AU52" s="105"/>
      <c r="AV52" s="118"/>
      <c r="AW52" s="132"/>
      <c r="AX52" s="114"/>
    </row>
    <row r="53" spans="1:50" x14ac:dyDescent="0.25">
      <c r="A53" s="158" t="s">
        <v>218</v>
      </c>
      <c r="B53" s="105"/>
      <c r="C53" s="105"/>
      <c r="D53" s="105"/>
      <c r="E53" s="106"/>
      <c r="F53" s="107"/>
      <c r="G53" s="364"/>
      <c r="H53" s="229"/>
      <c r="I53" s="374"/>
      <c r="J53" s="374"/>
      <c r="K53" s="359"/>
      <c r="L53" s="374"/>
      <c r="M53" s="357"/>
      <c r="N53" s="357"/>
      <c r="O53" s="356"/>
      <c r="P53" s="240"/>
      <c r="Q53" s="109"/>
      <c r="R53" s="109"/>
      <c r="S53" s="114"/>
      <c r="T53" s="114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57"/>
      <c r="AO53" s="151"/>
      <c r="AP53" s="117"/>
      <c r="AQ53" s="109"/>
      <c r="AR53" s="111"/>
      <c r="AS53" s="111"/>
      <c r="AT53" s="111"/>
      <c r="AU53" s="105"/>
      <c r="AV53" s="118"/>
      <c r="AW53" s="132"/>
      <c r="AX53" s="114"/>
    </row>
    <row r="54" spans="1:50" x14ac:dyDescent="0.25">
      <c r="A54" s="158" t="s">
        <v>219</v>
      </c>
      <c r="B54" s="105"/>
      <c r="C54" s="105"/>
      <c r="D54" s="105"/>
      <c r="E54" s="106"/>
      <c r="F54" s="107"/>
      <c r="G54" s="364"/>
      <c r="H54" s="229"/>
      <c r="I54" s="374"/>
      <c r="J54" s="374"/>
      <c r="K54" s="359"/>
      <c r="L54" s="374"/>
      <c r="M54" s="357"/>
      <c r="N54" s="357"/>
      <c r="O54" s="356"/>
      <c r="P54" s="240"/>
      <c r="Q54" s="109"/>
      <c r="R54" s="109"/>
      <c r="S54" s="114"/>
      <c r="T54" s="114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20"/>
      <c r="AO54" s="151"/>
      <c r="AP54" s="117"/>
      <c r="AQ54" s="109"/>
      <c r="AR54" s="111"/>
      <c r="AS54" s="111"/>
      <c r="AT54" s="111"/>
      <c r="AU54" s="105"/>
      <c r="AV54" s="118"/>
      <c r="AW54" s="132"/>
      <c r="AX54" s="114"/>
    </row>
    <row r="55" spans="1:50" x14ac:dyDescent="0.25">
      <c r="A55" s="14" t="s">
        <v>220</v>
      </c>
      <c r="B55" s="85"/>
      <c r="C55" s="85"/>
      <c r="D55" s="85"/>
      <c r="E55" s="62"/>
      <c r="F55" s="63"/>
      <c r="G55" s="365"/>
      <c r="H55"/>
      <c r="I55" s="358"/>
      <c r="J55" s="358"/>
      <c r="K55" s="375"/>
      <c r="L55" s="373"/>
      <c r="M55" s="358"/>
      <c r="N55" s="358"/>
      <c r="O55"/>
      <c r="P55" s="242"/>
      <c r="Q55" s="75"/>
      <c r="R55" s="75"/>
      <c r="S55" s="213"/>
      <c r="T55" s="80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89"/>
      <c r="AO55" s="125"/>
      <c r="AP55" s="77"/>
      <c r="AQ55" s="75"/>
      <c r="AR55" s="83"/>
      <c r="AS55" s="83"/>
      <c r="AT55" s="83"/>
      <c r="AU55" s="70"/>
      <c r="AV55" s="92"/>
      <c r="AW55" s="126"/>
      <c r="AX55" s="80"/>
    </row>
    <row r="56" spans="1:50" x14ac:dyDescent="0.25">
      <c r="A56" s="158" t="s">
        <v>221</v>
      </c>
      <c r="B56" s="105"/>
      <c r="C56" s="105"/>
      <c r="D56" s="105"/>
      <c r="E56" s="106"/>
      <c r="F56" s="107"/>
      <c r="G56" s="364"/>
      <c r="H56" s="229"/>
      <c r="I56" s="374"/>
      <c r="J56" s="374"/>
      <c r="K56" s="359"/>
      <c r="L56" s="374"/>
      <c r="M56" s="357"/>
      <c r="N56" s="357"/>
      <c r="O56" s="356"/>
      <c r="P56" s="240"/>
      <c r="Q56" s="109"/>
      <c r="R56" s="109"/>
      <c r="S56" s="114"/>
      <c r="T56" s="114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57"/>
      <c r="AO56" s="151"/>
      <c r="AP56" s="117"/>
      <c r="AQ56" s="99"/>
      <c r="AR56" s="96"/>
      <c r="AS56" s="96"/>
      <c r="AT56" s="96"/>
      <c r="AU56" s="105"/>
      <c r="AV56" s="118"/>
      <c r="AW56" s="129"/>
      <c r="AX56" s="114"/>
    </row>
    <row r="57" spans="1:50" x14ac:dyDescent="0.25">
      <c r="A57" s="159" t="s">
        <v>222</v>
      </c>
      <c r="B57" s="93"/>
      <c r="C57" s="93"/>
      <c r="D57" s="93"/>
      <c r="E57" s="94"/>
      <c r="F57" s="95"/>
      <c r="G57" s="367"/>
      <c r="H57" s="370"/>
      <c r="I57" s="377"/>
      <c r="J57" s="377"/>
      <c r="K57" s="378"/>
      <c r="L57" s="377"/>
      <c r="M57" s="379"/>
      <c r="N57" s="379"/>
      <c r="O57" s="371"/>
      <c r="P57" s="243"/>
      <c r="Q57" s="99"/>
      <c r="R57" s="99"/>
      <c r="S57" s="100"/>
      <c r="T57" s="100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2"/>
      <c r="AO57" s="164"/>
      <c r="AP57" s="103"/>
      <c r="AQ57" s="99"/>
      <c r="AR57" s="96"/>
      <c r="AS57" s="96"/>
      <c r="AT57" s="96"/>
      <c r="AU57" s="93"/>
      <c r="AV57" s="104"/>
      <c r="AW57" s="129"/>
      <c r="AX57" s="100"/>
    </row>
    <row r="58" spans="1:50" x14ac:dyDescent="0.25">
      <c r="A58" s="159" t="s">
        <v>223</v>
      </c>
      <c r="B58" s="93"/>
      <c r="C58" s="93"/>
      <c r="D58" s="93"/>
      <c r="E58" s="93"/>
      <c r="F58" s="97"/>
      <c r="G58" s="367"/>
      <c r="H58" s="370"/>
      <c r="I58" s="377"/>
      <c r="J58" s="377"/>
      <c r="K58" s="378"/>
      <c r="L58" s="377"/>
      <c r="M58" s="379"/>
      <c r="N58" s="379"/>
      <c r="O58" s="371"/>
      <c r="P58" s="243"/>
      <c r="Q58" s="99"/>
      <c r="R58" s="99"/>
      <c r="S58" s="100"/>
      <c r="T58" s="100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2"/>
      <c r="AO58" s="164"/>
      <c r="AP58" s="103"/>
      <c r="AQ58" s="99"/>
      <c r="AR58" s="96"/>
      <c r="AS58" s="96"/>
      <c r="AT58" s="96"/>
      <c r="AU58" s="93"/>
      <c r="AV58" s="104"/>
      <c r="AW58" s="129"/>
      <c r="AX58" s="100"/>
    </row>
    <row r="59" spans="1:50" x14ac:dyDescent="0.25">
      <c r="A59" s="159" t="s">
        <v>224</v>
      </c>
      <c r="B59" s="93"/>
      <c r="C59" s="93"/>
      <c r="D59" s="93"/>
      <c r="E59" s="94"/>
      <c r="F59" s="95"/>
      <c r="G59" s="367"/>
      <c r="H59" s="370"/>
      <c r="I59" s="377"/>
      <c r="J59" s="377"/>
      <c r="K59" s="378"/>
      <c r="L59" s="377"/>
      <c r="M59" s="379"/>
      <c r="N59" s="379"/>
      <c r="O59" s="371"/>
      <c r="P59" s="243"/>
      <c r="Q59" s="99"/>
      <c r="R59" s="99"/>
      <c r="S59" s="100"/>
      <c r="T59" s="100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2"/>
      <c r="AO59" s="164"/>
      <c r="AP59" s="103"/>
      <c r="AQ59" s="99"/>
      <c r="AR59" s="96"/>
      <c r="AS59" s="96"/>
      <c r="AT59" s="96"/>
      <c r="AU59" s="93"/>
      <c r="AV59" s="104"/>
      <c r="AW59" s="129"/>
      <c r="AX59" s="100"/>
    </row>
    <row r="60" spans="1:50" x14ac:dyDescent="0.25">
      <c r="A60" s="159" t="s">
        <v>225</v>
      </c>
      <c r="B60" s="93"/>
      <c r="C60" s="93"/>
      <c r="D60" s="93"/>
      <c r="E60" s="94"/>
      <c r="F60" s="95"/>
      <c r="G60" s="367"/>
      <c r="H60" s="370"/>
      <c r="I60" s="377"/>
      <c r="J60" s="377"/>
      <c r="K60" s="378"/>
      <c r="L60" s="377"/>
      <c r="M60" s="379"/>
      <c r="N60" s="379"/>
      <c r="O60" s="371"/>
      <c r="P60" s="243"/>
      <c r="Q60" s="99"/>
      <c r="R60" s="99"/>
      <c r="S60" s="100"/>
      <c r="T60" s="100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2"/>
      <c r="AO60" s="164"/>
      <c r="AP60" s="103"/>
      <c r="AQ60" s="99"/>
      <c r="AR60" s="96"/>
      <c r="AS60" s="96"/>
      <c r="AT60" s="96"/>
      <c r="AU60" s="93"/>
      <c r="AV60" s="104"/>
      <c r="AW60" s="129"/>
      <c r="AX60" s="100"/>
    </row>
    <row r="61" spans="1:50" x14ac:dyDescent="0.25">
      <c r="A61" s="201" t="s">
        <v>226</v>
      </c>
      <c r="B61" s="202"/>
      <c r="C61" s="202"/>
      <c r="D61" s="85"/>
      <c r="E61" s="201"/>
      <c r="F61" s="221"/>
      <c r="G61" s="366"/>
      <c r="I61" s="376"/>
      <c r="J61" s="376"/>
      <c r="K61" s="375"/>
      <c r="L61" s="372"/>
      <c r="M61" s="375"/>
      <c r="N61" s="375"/>
      <c r="P61" s="245"/>
      <c r="Q61" s="222"/>
      <c r="R61" s="200"/>
      <c r="S61" s="213"/>
      <c r="T61" s="200"/>
      <c r="U61" s="200"/>
      <c r="V61" s="200"/>
      <c r="W61" s="200"/>
      <c r="X61" s="200"/>
      <c r="Y61" s="200"/>
      <c r="Z61" s="200"/>
      <c r="AA61" s="200"/>
      <c r="AB61" s="200"/>
      <c r="AC61" s="200"/>
      <c r="AD61" s="200"/>
      <c r="AE61" s="200"/>
      <c r="AF61" s="200"/>
      <c r="AG61" s="200"/>
      <c r="AH61" s="200"/>
      <c r="AI61" s="200"/>
      <c r="AJ61" s="200"/>
      <c r="AK61" s="200"/>
      <c r="AL61" s="200"/>
      <c r="AM61" s="200"/>
      <c r="AN61" s="89"/>
      <c r="AO61" s="200"/>
      <c r="AP61" s="271"/>
      <c r="AQ61" s="222"/>
      <c r="AR61" s="200"/>
      <c r="AS61" s="200"/>
      <c r="AT61" s="200"/>
      <c r="AU61" s="215"/>
      <c r="AV61" s="202"/>
      <c r="AW61" s="217"/>
      <c r="AX61" s="200"/>
    </row>
    <row r="62" spans="1:50" x14ac:dyDescent="0.25">
      <c r="A62" s="159" t="s">
        <v>227</v>
      </c>
      <c r="B62" s="93"/>
      <c r="C62" s="93"/>
      <c r="D62" s="93"/>
      <c r="E62" s="94"/>
      <c r="F62" s="95"/>
      <c r="G62" s="367"/>
      <c r="H62" s="370"/>
      <c r="I62" s="377"/>
      <c r="J62" s="377"/>
      <c r="K62" s="378"/>
      <c r="L62" s="377"/>
      <c r="M62" s="379"/>
      <c r="N62" s="379"/>
      <c r="O62" s="371"/>
      <c r="P62" s="243"/>
      <c r="Q62" s="99"/>
      <c r="R62" s="99"/>
      <c r="S62" s="100"/>
      <c r="T62" s="100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2"/>
      <c r="AO62" s="164"/>
      <c r="AP62" s="103"/>
      <c r="AQ62" s="99"/>
      <c r="AR62" s="96"/>
      <c r="AS62" s="96"/>
      <c r="AT62" s="96"/>
      <c r="AU62" s="93"/>
      <c r="AV62" s="104"/>
      <c r="AW62" s="129"/>
      <c r="AX62" s="100"/>
    </row>
    <row r="63" spans="1:50" x14ac:dyDescent="0.25">
      <c r="A63" s="159" t="s">
        <v>228</v>
      </c>
      <c r="B63" s="93"/>
      <c r="C63" s="93"/>
      <c r="D63" s="93"/>
      <c r="E63" s="94"/>
      <c r="F63" s="95"/>
      <c r="G63" s="367"/>
      <c r="H63" s="370"/>
      <c r="I63" s="377"/>
      <c r="J63" s="377"/>
      <c r="K63" s="378"/>
      <c r="L63" s="377"/>
      <c r="M63" s="379"/>
      <c r="N63" s="379"/>
      <c r="O63" s="371"/>
      <c r="P63" s="243"/>
      <c r="Q63" s="99"/>
      <c r="R63" s="99"/>
      <c r="S63" s="100"/>
      <c r="T63" s="100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2"/>
      <c r="AO63" s="164"/>
      <c r="AP63" s="103"/>
      <c r="AQ63" s="99"/>
      <c r="AR63" s="96"/>
      <c r="AS63" s="96"/>
      <c r="AT63" s="96"/>
      <c r="AU63" s="93"/>
      <c r="AV63" s="104"/>
      <c r="AW63" s="129"/>
      <c r="AX63" s="100"/>
    </row>
    <row r="64" spans="1:50" x14ac:dyDescent="0.25">
      <c r="A64" s="201" t="s">
        <v>229</v>
      </c>
      <c r="B64" s="202"/>
      <c r="C64" s="202"/>
      <c r="D64" s="85"/>
      <c r="E64" s="211"/>
      <c r="F64" s="221"/>
      <c r="G64" s="366"/>
      <c r="I64" s="376"/>
      <c r="J64" s="376"/>
      <c r="K64" s="375"/>
      <c r="L64" s="375"/>
      <c r="M64" s="375"/>
      <c r="N64" s="375"/>
      <c r="P64" s="245"/>
      <c r="Q64" s="222"/>
      <c r="R64" s="200"/>
      <c r="S64" s="213"/>
      <c r="T64" s="200"/>
      <c r="U64" s="200"/>
      <c r="V64" s="200"/>
      <c r="W64" s="200"/>
      <c r="X64" s="200"/>
      <c r="Y64" s="200"/>
      <c r="Z64" s="200"/>
      <c r="AA64" s="200"/>
      <c r="AB64" s="200"/>
      <c r="AC64" s="200"/>
      <c r="AD64" s="200"/>
      <c r="AE64" s="200"/>
      <c r="AF64" s="200"/>
      <c r="AG64" s="200"/>
      <c r="AH64" s="200"/>
      <c r="AI64" s="200"/>
      <c r="AJ64" s="200"/>
      <c r="AK64" s="200"/>
      <c r="AL64" s="200"/>
      <c r="AM64" s="200"/>
      <c r="AN64" s="89"/>
      <c r="AO64" s="200"/>
      <c r="AP64" s="271"/>
      <c r="AQ64" s="222"/>
      <c r="AR64" s="200"/>
      <c r="AS64" s="200"/>
      <c r="AT64" s="200"/>
      <c r="AU64" s="215"/>
      <c r="AV64" s="202"/>
      <c r="AW64" s="217"/>
      <c r="AX64" s="200"/>
    </row>
    <row r="65" spans="1:50" x14ac:dyDescent="0.25">
      <c r="A65" s="159" t="s">
        <v>230</v>
      </c>
      <c r="B65" s="93"/>
      <c r="C65" s="93"/>
      <c r="D65" s="93"/>
      <c r="E65" s="94"/>
      <c r="F65" s="95"/>
      <c r="G65" s="367"/>
      <c r="H65" s="370"/>
      <c r="I65" s="377"/>
      <c r="J65" s="377"/>
      <c r="K65" s="378"/>
      <c r="L65" s="377"/>
      <c r="M65" s="379"/>
      <c r="N65" s="379"/>
      <c r="O65" s="371"/>
      <c r="P65" s="243"/>
      <c r="Q65" s="99"/>
      <c r="R65" s="99"/>
      <c r="S65" s="100"/>
      <c r="T65" s="100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2"/>
      <c r="AO65" s="164"/>
      <c r="AP65" s="103"/>
      <c r="AQ65" s="99"/>
      <c r="AR65" s="96"/>
      <c r="AS65" s="96"/>
      <c r="AT65" s="96"/>
      <c r="AU65" s="93"/>
      <c r="AV65" s="104"/>
      <c r="AW65" s="129"/>
      <c r="AX65" s="100"/>
    </row>
    <row r="66" spans="1:50" x14ac:dyDescent="0.25">
      <c r="A66" s="201" t="s">
        <v>231</v>
      </c>
      <c r="B66" s="202"/>
      <c r="C66" s="202"/>
      <c r="D66" s="85"/>
      <c r="E66" s="211"/>
      <c r="F66" s="221"/>
      <c r="G66" s="366"/>
      <c r="I66" s="376"/>
      <c r="J66" s="376"/>
      <c r="K66" s="375"/>
      <c r="L66" s="375"/>
      <c r="M66" s="375"/>
      <c r="N66" s="375"/>
      <c r="P66" s="245"/>
      <c r="Q66" s="222"/>
      <c r="R66" s="200"/>
      <c r="S66" s="213"/>
      <c r="T66" s="200"/>
      <c r="U66" s="200"/>
      <c r="V66" s="200"/>
      <c r="W66" s="200"/>
      <c r="X66" s="200"/>
      <c r="Y66" s="200"/>
      <c r="Z66" s="200"/>
      <c r="AA66" s="200"/>
      <c r="AB66" s="200"/>
      <c r="AC66" s="200"/>
      <c r="AD66" s="200"/>
      <c r="AE66" s="200"/>
      <c r="AF66" s="200"/>
      <c r="AG66" s="200"/>
      <c r="AH66" s="200"/>
      <c r="AI66" s="200"/>
      <c r="AJ66" s="200"/>
      <c r="AK66" s="200"/>
      <c r="AL66" s="200"/>
      <c r="AM66" s="200"/>
      <c r="AN66" s="89"/>
      <c r="AO66" s="200"/>
      <c r="AP66" s="271"/>
      <c r="AQ66" s="222"/>
      <c r="AR66" s="200"/>
      <c r="AS66" s="200"/>
      <c r="AT66" s="200"/>
      <c r="AU66" s="215"/>
      <c r="AV66" s="202"/>
      <c r="AW66" s="217"/>
      <c r="AX66" s="200"/>
    </row>
    <row r="67" spans="1:50" x14ac:dyDescent="0.25">
      <c r="A67" s="201" t="s">
        <v>232</v>
      </c>
      <c r="B67" s="85"/>
      <c r="C67" s="85"/>
      <c r="D67" s="85"/>
      <c r="E67" s="86"/>
      <c r="G67" s="366"/>
      <c r="H67"/>
      <c r="I67" s="358"/>
      <c r="J67" s="358"/>
      <c r="K67" s="375"/>
      <c r="L67" s="373"/>
      <c r="M67" s="358"/>
      <c r="N67" s="358"/>
      <c r="O67"/>
      <c r="P67" s="281"/>
      <c r="Q67" s="222"/>
      <c r="R67" s="200"/>
      <c r="S67" s="213"/>
      <c r="T67" s="200"/>
      <c r="U67" s="200"/>
      <c r="V67" s="200"/>
      <c r="W67" s="200"/>
      <c r="X67" s="200"/>
      <c r="Y67" s="200"/>
      <c r="Z67" s="200"/>
      <c r="AA67" s="200"/>
      <c r="AB67" s="200"/>
      <c r="AC67" s="200"/>
      <c r="AD67" s="200"/>
      <c r="AE67" s="200"/>
      <c r="AF67" s="200"/>
      <c r="AG67" s="200"/>
      <c r="AH67" s="200"/>
      <c r="AI67" s="200"/>
      <c r="AJ67" s="200"/>
      <c r="AK67" s="200"/>
      <c r="AL67" s="200"/>
      <c r="AM67" s="200"/>
      <c r="AN67" s="89"/>
      <c r="AO67" s="200"/>
      <c r="AP67" s="271"/>
      <c r="AQ67" s="222"/>
      <c r="AR67" s="200"/>
      <c r="AS67" s="200"/>
      <c r="AT67" s="200"/>
      <c r="AU67" s="215"/>
      <c r="AV67" s="202"/>
      <c r="AW67" s="217"/>
      <c r="AX67" s="200"/>
    </row>
    <row r="68" spans="1:50" x14ac:dyDescent="0.25">
      <c r="A68" s="159" t="s">
        <v>233</v>
      </c>
      <c r="B68" s="93"/>
      <c r="C68" s="93"/>
      <c r="D68" s="93"/>
      <c r="E68" s="94"/>
      <c r="F68" s="95"/>
      <c r="G68" s="367"/>
      <c r="H68" s="370"/>
      <c r="I68" s="377"/>
      <c r="J68" s="377"/>
      <c r="K68" s="378"/>
      <c r="L68" s="377"/>
      <c r="M68" s="379"/>
      <c r="N68" s="379"/>
      <c r="O68" s="371"/>
      <c r="P68" s="243"/>
      <c r="Q68" s="99"/>
      <c r="R68" s="99"/>
      <c r="S68" s="100"/>
      <c r="T68" s="100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2"/>
      <c r="AO68" s="164"/>
      <c r="AP68" s="103"/>
      <c r="AQ68" s="99"/>
      <c r="AR68" s="96"/>
      <c r="AS68" s="96"/>
      <c r="AT68" s="96"/>
      <c r="AU68" s="93"/>
      <c r="AV68" s="104"/>
      <c r="AW68" s="129"/>
      <c r="AX68" s="100"/>
    </row>
    <row r="69" spans="1:50" x14ac:dyDescent="0.25">
      <c r="A69" s="159" t="s">
        <v>234</v>
      </c>
      <c r="B69" s="93"/>
      <c r="C69" s="93"/>
      <c r="D69" s="93"/>
      <c r="E69" s="94"/>
      <c r="F69" s="95"/>
      <c r="G69" s="367"/>
      <c r="H69" s="370"/>
      <c r="I69" s="377"/>
      <c r="J69" s="377"/>
      <c r="K69" s="378"/>
      <c r="L69" s="377"/>
      <c r="M69" s="379"/>
      <c r="N69" s="379"/>
      <c r="O69" s="371"/>
      <c r="P69" s="243"/>
      <c r="Q69" s="99"/>
      <c r="R69" s="99"/>
      <c r="S69" s="100"/>
      <c r="T69" s="100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2"/>
      <c r="AO69" s="164"/>
      <c r="AP69" s="103"/>
      <c r="AQ69" s="99"/>
      <c r="AR69" s="96"/>
      <c r="AS69" s="96"/>
      <c r="AT69" s="96"/>
      <c r="AU69" s="93"/>
      <c r="AV69" s="104"/>
      <c r="AW69" s="129"/>
      <c r="AX69" s="100"/>
    </row>
    <row r="70" spans="1:50" x14ac:dyDescent="0.25">
      <c r="A70" s="202" t="s">
        <v>235</v>
      </c>
      <c r="B70" s="201"/>
      <c r="C70" s="201"/>
      <c r="D70" s="85"/>
      <c r="E70" s="211"/>
      <c r="F70" s="221"/>
      <c r="G70" s="369"/>
      <c r="H70"/>
      <c r="I70" s="358"/>
      <c r="J70" s="358"/>
      <c r="K70" s="372"/>
      <c r="L70" s="372"/>
      <c r="M70" s="358"/>
      <c r="N70" s="358"/>
      <c r="O70"/>
      <c r="P70" s="281"/>
      <c r="Q70" s="222"/>
      <c r="R70" s="200"/>
      <c r="S70" s="213"/>
      <c r="T70" s="200"/>
      <c r="U70" s="200"/>
      <c r="V70" s="200"/>
      <c r="W70" s="200"/>
      <c r="X70" s="200"/>
      <c r="Y70" s="200"/>
      <c r="Z70" s="200"/>
      <c r="AA70" s="200"/>
      <c r="AB70" s="200"/>
      <c r="AC70" s="200"/>
      <c r="AD70" s="200"/>
      <c r="AE70" s="200"/>
      <c r="AF70" s="200"/>
      <c r="AG70" s="200"/>
      <c r="AH70" s="200"/>
      <c r="AI70" s="200"/>
      <c r="AJ70" s="200"/>
      <c r="AK70" s="200"/>
      <c r="AL70" s="200"/>
      <c r="AM70" s="200"/>
      <c r="AN70" s="89"/>
      <c r="AO70" s="200"/>
      <c r="AP70" s="271"/>
      <c r="AQ70" s="222"/>
      <c r="AR70" s="200"/>
      <c r="AS70" s="200"/>
      <c r="AT70" s="200"/>
      <c r="AU70" s="215"/>
      <c r="AV70" s="202"/>
      <c r="AW70" s="217"/>
      <c r="AX70" s="200"/>
    </row>
    <row r="71" spans="1:50" x14ac:dyDescent="0.25">
      <c r="A71" s="202" t="s">
        <v>236</v>
      </c>
      <c r="B71" s="202"/>
      <c r="C71" s="202"/>
      <c r="D71" s="85"/>
      <c r="E71" s="211"/>
      <c r="F71" s="221"/>
      <c r="G71" s="366"/>
      <c r="I71" s="376"/>
      <c r="J71" s="376"/>
      <c r="K71" s="375"/>
      <c r="L71" s="375"/>
      <c r="M71" s="375"/>
      <c r="N71" s="375"/>
      <c r="P71" s="245"/>
      <c r="Q71" s="222"/>
      <c r="R71" s="200"/>
      <c r="S71" s="213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200"/>
      <c r="AG71" s="200"/>
      <c r="AH71" s="200"/>
      <c r="AI71" s="200"/>
      <c r="AJ71" s="200"/>
      <c r="AK71" s="200"/>
      <c r="AL71" s="200"/>
      <c r="AM71" s="200"/>
      <c r="AN71" s="89"/>
      <c r="AO71" s="200"/>
      <c r="AP71" s="271"/>
      <c r="AQ71" s="222"/>
      <c r="AR71" s="200"/>
      <c r="AS71" s="200"/>
      <c r="AT71" s="200"/>
      <c r="AU71" s="215"/>
      <c r="AV71" s="202"/>
      <c r="AW71" s="217"/>
      <c r="AX71" s="200"/>
    </row>
    <row r="72" spans="1:50" x14ac:dyDescent="0.25">
      <c r="A72" s="202" t="s">
        <v>237</v>
      </c>
      <c r="B72" s="202"/>
      <c r="C72" s="202"/>
      <c r="D72" s="85"/>
      <c r="E72" s="211"/>
      <c r="F72" s="221"/>
      <c r="G72" s="366"/>
      <c r="I72" s="376"/>
      <c r="J72" s="376"/>
      <c r="K72" s="375"/>
      <c r="L72" s="375"/>
      <c r="M72" s="375"/>
      <c r="N72" s="375"/>
      <c r="P72" s="245"/>
      <c r="Q72" s="222"/>
      <c r="R72" s="200"/>
      <c r="S72" s="213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200"/>
      <c r="AG72" s="200"/>
      <c r="AH72" s="200"/>
      <c r="AI72" s="200"/>
      <c r="AJ72" s="200"/>
      <c r="AK72" s="200"/>
      <c r="AL72" s="200"/>
      <c r="AM72" s="200"/>
      <c r="AN72" s="89"/>
      <c r="AO72" s="200"/>
      <c r="AP72" s="271"/>
      <c r="AQ72" s="222"/>
      <c r="AR72" s="200"/>
      <c r="AS72" s="200"/>
      <c r="AT72" s="200"/>
      <c r="AU72" s="215"/>
      <c r="AV72" s="202"/>
      <c r="AW72" s="217"/>
      <c r="AX72" s="200"/>
    </row>
    <row r="73" spans="1:50" x14ac:dyDescent="0.25">
      <c r="A73" s="202" t="s">
        <v>267</v>
      </c>
      <c r="B73" s="86"/>
      <c r="C73" s="16"/>
      <c r="D73" s="85"/>
      <c r="E73" s="85"/>
      <c r="F73" s="196"/>
      <c r="G73" s="365"/>
      <c r="H73"/>
      <c r="I73" s="358"/>
      <c r="J73" s="358"/>
      <c r="K73" s="372"/>
      <c r="L73" s="373"/>
      <c r="M73" s="358"/>
      <c r="N73" s="358"/>
      <c r="O73"/>
      <c r="P73" s="245"/>
      <c r="Q73" s="222"/>
      <c r="R73" s="200"/>
      <c r="S73" s="213"/>
      <c r="T73" s="200"/>
      <c r="U73" s="200"/>
      <c r="V73" s="200"/>
      <c r="W73" s="200"/>
      <c r="X73" s="200"/>
      <c r="Y73" s="200"/>
      <c r="Z73" s="200"/>
      <c r="AA73" s="200"/>
      <c r="AB73" s="200"/>
      <c r="AC73" s="200"/>
      <c r="AD73" s="200"/>
      <c r="AE73" s="200"/>
      <c r="AF73" s="200"/>
      <c r="AG73" s="200"/>
      <c r="AH73" s="200"/>
      <c r="AI73" s="200"/>
      <c r="AJ73" s="200"/>
      <c r="AK73" s="200"/>
      <c r="AL73" s="200"/>
      <c r="AM73" s="200"/>
      <c r="AN73" s="89"/>
      <c r="AO73" s="200"/>
      <c r="AP73" s="271"/>
      <c r="AQ73" s="222"/>
      <c r="AR73" s="200"/>
      <c r="AS73" s="200"/>
      <c r="AT73" s="200"/>
      <c r="AU73" s="215"/>
      <c r="AV73" s="202"/>
      <c r="AW73" s="217"/>
      <c r="AX73" s="200"/>
    </row>
    <row r="74" spans="1:50" x14ac:dyDescent="0.25">
      <c r="A74" s="202" t="s">
        <v>268</v>
      </c>
      <c r="B74" s="86"/>
      <c r="C74" s="16"/>
      <c r="D74" s="85"/>
      <c r="E74" s="85"/>
      <c r="F74" s="196"/>
      <c r="G74" s="365"/>
      <c r="H74"/>
      <c r="I74" s="358"/>
      <c r="J74" s="358"/>
      <c r="K74" s="372"/>
      <c r="L74" s="373"/>
      <c r="M74" s="358"/>
      <c r="N74" s="358"/>
      <c r="O74"/>
      <c r="P74" s="245"/>
      <c r="Q74" s="222"/>
      <c r="R74" s="200"/>
      <c r="S74" s="213"/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0"/>
      <c r="AE74" s="200"/>
      <c r="AF74" s="200"/>
      <c r="AG74" s="200"/>
      <c r="AH74" s="200"/>
      <c r="AI74" s="200"/>
      <c r="AJ74" s="200"/>
      <c r="AK74" s="200"/>
      <c r="AL74" s="200"/>
      <c r="AM74" s="200"/>
      <c r="AN74" s="89"/>
      <c r="AO74" s="200"/>
      <c r="AP74" s="271"/>
      <c r="AQ74" s="222"/>
      <c r="AR74" s="200"/>
      <c r="AS74" s="200"/>
      <c r="AT74" s="200"/>
      <c r="AU74" s="215"/>
      <c r="AV74" s="202"/>
      <c r="AW74" s="217"/>
      <c r="AX74" s="200"/>
    </row>
    <row r="75" spans="1:50" x14ac:dyDescent="0.25">
      <c r="A75" s="202" t="s">
        <v>269</v>
      </c>
      <c r="B75" s="85"/>
      <c r="C75" s="202"/>
      <c r="D75" s="85"/>
      <c r="E75" s="211"/>
      <c r="F75" s="221"/>
      <c r="G75" s="366"/>
      <c r="I75" s="376"/>
      <c r="J75" s="376"/>
      <c r="K75" s="375"/>
      <c r="L75" s="375"/>
      <c r="M75" s="375"/>
      <c r="N75" s="375"/>
      <c r="P75" s="245"/>
      <c r="Q75" s="222"/>
      <c r="R75" s="200"/>
      <c r="S75" s="213"/>
      <c r="T75" s="200"/>
      <c r="U75" s="200"/>
      <c r="V75" s="200"/>
      <c r="W75" s="200"/>
      <c r="X75" s="200"/>
      <c r="Y75" s="200"/>
      <c r="Z75" s="200"/>
      <c r="AA75" s="200"/>
      <c r="AB75" s="200"/>
      <c r="AC75" s="200"/>
      <c r="AD75" s="200"/>
      <c r="AE75" s="200"/>
      <c r="AF75" s="200"/>
      <c r="AG75" s="200"/>
      <c r="AH75" s="200"/>
      <c r="AI75" s="200"/>
      <c r="AJ75" s="200"/>
      <c r="AK75" s="200"/>
      <c r="AL75" s="200"/>
      <c r="AM75" s="200"/>
      <c r="AN75" s="89"/>
      <c r="AO75" s="200"/>
      <c r="AP75" s="271"/>
      <c r="AQ75" s="222"/>
      <c r="AR75" s="200"/>
      <c r="AS75" s="200"/>
      <c r="AT75" s="200"/>
      <c r="AU75" s="215"/>
      <c r="AV75" s="202"/>
      <c r="AW75" s="217"/>
      <c r="AX75" s="200"/>
    </row>
    <row r="76" spans="1:50" x14ac:dyDescent="0.25">
      <c r="A76" s="202" t="s">
        <v>270</v>
      </c>
      <c r="B76" s="85"/>
      <c r="C76" s="202"/>
      <c r="D76" s="85"/>
      <c r="E76" s="211"/>
      <c r="F76" s="221"/>
      <c r="G76" s="365"/>
      <c r="I76" s="376"/>
      <c r="J76" s="376"/>
      <c r="K76" s="375"/>
      <c r="L76" s="375"/>
      <c r="M76" s="375"/>
      <c r="N76" s="375"/>
      <c r="P76" s="245"/>
      <c r="Q76" s="222"/>
      <c r="R76" s="200"/>
      <c r="S76" s="213"/>
      <c r="T76" s="200"/>
      <c r="U76" s="200"/>
      <c r="V76" s="200"/>
      <c r="W76" s="200"/>
      <c r="X76" s="200"/>
      <c r="Y76" s="200"/>
      <c r="Z76" s="200"/>
      <c r="AA76" s="200"/>
      <c r="AB76" s="200"/>
      <c r="AC76" s="200"/>
      <c r="AD76" s="200"/>
      <c r="AE76" s="200"/>
      <c r="AF76" s="200"/>
      <c r="AG76" s="200"/>
      <c r="AH76" s="200"/>
      <c r="AI76" s="200"/>
      <c r="AJ76" s="200"/>
      <c r="AK76" s="200"/>
      <c r="AL76" s="200"/>
      <c r="AM76" s="200"/>
      <c r="AN76" s="89"/>
      <c r="AO76" s="200"/>
      <c r="AP76" s="271"/>
      <c r="AQ76" s="222"/>
      <c r="AR76" s="200"/>
      <c r="AS76" s="200"/>
      <c r="AT76" s="200"/>
      <c r="AU76" s="215"/>
      <c r="AV76" s="202"/>
      <c r="AW76" s="217"/>
      <c r="AX76" s="200"/>
    </row>
    <row r="77" spans="1:50" x14ac:dyDescent="0.25">
      <c r="A77" s="202" t="s">
        <v>281</v>
      </c>
      <c r="B77" s="85"/>
      <c r="C77" s="202"/>
      <c r="D77" s="85"/>
      <c r="E77" s="211"/>
      <c r="F77" s="221"/>
      <c r="G77" s="366"/>
      <c r="I77" s="376"/>
      <c r="J77" s="376"/>
      <c r="K77" s="375"/>
      <c r="L77" s="375"/>
      <c r="M77" s="375"/>
      <c r="N77" s="375"/>
      <c r="P77" s="245"/>
      <c r="Q77" s="222"/>
      <c r="R77" s="200"/>
      <c r="S77" s="213"/>
      <c r="T77" s="200"/>
      <c r="U77" s="200"/>
      <c r="V77" s="200"/>
      <c r="W77" s="200"/>
      <c r="X77" s="200"/>
      <c r="Y77" s="200"/>
      <c r="Z77" s="200"/>
      <c r="AA77" s="200"/>
      <c r="AB77" s="200"/>
      <c r="AC77" s="200"/>
      <c r="AD77" s="200"/>
      <c r="AE77" s="200"/>
      <c r="AF77" s="200"/>
      <c r="AG77" s="200"/>
      <c r="AH77" s="200"/>
      <c r="AI77" s="200"/>
      <c r="AJ77" s="200"/>
      <c r="AK77" s="200"/>
      <c r="AL77" s="200"/>
      <c r="AM77" s="200"/>
      <c r="AN77" s="89"/>
      <c r="AO77" s="200"/>
      <c r="AP77" s="271"/>
      <c r="AQ77" s="222"/>
      <c r="AR77" s="200"/>
      <c r="AS77" s="200"/>
      <c r="AT77" s="200"/>
      <c r="AU77" s="215"/>
      <c r="AV77" s="202"/>
      <c r="AW77" s="217"/>
      <c r="AX77" s="200"/>
    </row>
    <row r="78" spans="1:50" x14ac:dyDescent="0.25">
      <c r="A78" s="202" t="s">
        <v>282</v>
      </c>
      <c r="B78" s="85"/>
      <c r="C78" s="202"/>
      <c r="D78" s="85"/>
      <c r="E78" s="211"/>
      <c r="F78" s="221"/>
      <c r="G78" s="365"/>
      <c r="I78" s="376"/>
      <c r="J78" s="376"/>
      <c r="K78" s="375"/>
      <c r="L78" s="375"/>
      <c r="M78" s="375"/>
      <c r="N78" s="375"/>
      <c r="P78" s="245"/>
      <c r="Q78" s="222"/>
      <c r="R78" s="200"/>
      <c r="S78" s="213"/>
      <c r="T78" s="200"/>
      <c r="U78" s="200"/>
      <c r="V78" s="200"/>
      <c r="W78" s="200"/>
      <c r="X78" s="200"/>
      <c r="Y78" s="200"/>
      <c r="Z78" s="200"/>
      <c r="AA78" s="200"/>
      <c r="AB78" s="200"/>
      <c r="AC78" s="200"/>
      <c r="AD78" s="200"/>
      <c r="AE78" s="200"/>
      <c r="AF78" s="200"/>
      <c r="AG78" s="200"/>
      <c r="AH78" s="200"/>
      <c r="AI78" s="200"/>
      <c r="AJ78" s="200"/>
      <c r="AK78" s="200"/>
      <c r="AL78" s="200"/>
      <c r="AM78" s="200"/>
      <c r="AN78" s="89"/>
      <c r="AO78" s="200"/>
      <c r="AP78" s="271"/>
      <c r="AQ78" s="222"/>
      <c r="AR78" s="200"/>
      <c r="AS78" s="200"/>
      <c r="AT78" s="200"/>
      <c r="AU78" s="215"/>
      <c r="AV78" s="202"/>
      <c r="AW78" s="217"/>
      <c r="AX78" s="200"/>
    </row>
  </sheetData>
  <sheetProtection selectLockedCells="1" selectUnlockedCells="1"/>
  <phoneticPr fontId="22" type="noConversion"/>
  <printOptions horizontalCentered="1" verticalCentered="1"/>
  <pageMargins left="0.31527777777777777" right="0.31527777777777777" top="1" bottom="1" header="0.51180555555555551" footer="0"/>
  <pageSetup paperSize="9" firstPageNumber="0" orientation="landscape" horizontalDpi="300" verticalDpi="300" r:id="rId1"/>
  <headerFooter alignWithMargins="0">
    <oddFooter>&amp;C&amp;A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23"/>
  <sheetViews>
    <sheetView zoomScale="80" zoomScaleNormal="80" workbookViewId="0">
      <pane xSplit="1" ySplit="3" topLeftCell="B5" activePane="bottomRight" state="frozen"/>
      <selection pane="topRight" activeCell="B1" sqref="B1"/>
      <selection pane="bottomLeft" activeCell="A4" sqref="A4"/>
      <selection pane="bottomRight" activeCell="H11" sqref="H11"/>
    </sheetView>
  </sheetViews>
  <sheetFormatPr defaultColWidth="11.08984375" defaultRowHeight="12.5" x14ac:dyDescent="0.25"/>
  <cols>
    <col min="1" max="3" width="9.36328125" style="14" customWidth="1"/>
    <col min="4" max="4" width="14.54296875" style="168" customWidth="1"/>
    <col min="5" max="5" width="12" style="15" customWidth="1"/>
    <col min="6" max="6" width="12" style="16" customWidth="1"/>
    <col min="7" max="7" width="12" style="17" customWidth="1"/>
    <col min="8" max="9" width="6.54296875" style="17" customWidth="1"/>
    <col min="10" max="10" width="12" style="17" customWidth="1"/>
    <col min="11" max="12" width="12" style="14" customWidth="1"/>
    <col min="13" max="13" width="30.54296875" style="14" customWidth="1"/>
    <col min="14" max="15" width="12" style="14" customWidth="1"/>
    <col min="16" max="16" width="12" style="18" customWidth="1"/>
    <col min="17" max="16384" width="11.08984375" style="18"/>
  </cols>
  <sheetData>
    <row r="1" spans="1:16" s="35" customFormat="1" ht="13" x14ac:dyDescent="0.3">
      <c r="A1" s="20" t="s">
        <v>42</v>
      </c>
      <c r="B1" s="169" t="s">
        <v>262</v>
      </c>
      <c r="C1" s="170" t="s">
        <v>43</v>
      </c>
      <c r="D1" s="171" t="s">
        <v>266</v>
      </c>
      <c r="E1" s="24" t="s">
        <v>44</v>
      </c>
      <c r="F1" s="25" t="s">
        <v>265</v>
      </c>
      <c r="G1" s="26" t="s">
        <v>45</v>
      </c>
      <c r="H1" s="121" t="s">
        <v>46</v>
      </c>
      <c r="I1" s="28"/>
      <c r="J1" s="27"/>
      <c r="K1" s="382" t="s">
        <v>239</v>
      </c>
      <c r="L1" s="382"/>
      <c r="M1" s="382"/>
      <c r="N1" s="382"/>
      <c r="O1" s="382"/>
      <c r="P1" s="382"/>
    </row>
    <row r="2" spans="1:16" ht="15" x14ac:dyDescent="0.4">
      <c r="A2" s="37" t="s">
        <v>240</v>
      </c>
      <c r="B2" s="39" t="s">
        <v>50</v>
      </c>
      <c r="C2" s="38" t="s">
        <v>51</v>
      </c>
      <c r="D2" s="172" t="s">
        <v>55</v>
      </c>
      <c r="E2" s="43" t="s">
        <v>1</v>
      </c>
      <c r="F2" s="44" t="s">
        <v>3</v>
      </c>
      <c r="G2" s="44" t="s">
        <v>5</v>
      </c>
      <c r="H2" s="44" t="s">
        <v>56</v>
      </c>
      <c r="I2" s="45" t="s">
        <v>57</v>
      </c>
      <c r="J2" s="46" t="s">
        <v>11</v>
      </c>
      <c r="K2" s="46" t="s">
        <v>58</v>
      </c>
      <c r="L2" s="46" t="s">
        <v>15</v>
      </c>
      <c r="M2" s="47" t="s">
        <v>59</v>
      </c>
      <c r="N2" s="60" t="s">
        <v>69</v>
      </c>
      <c r="O2" s="61" t="s">
        <v>70</v>
      </c>
      <c r="P2" s="61" t="s">
        <v>71</v>
      </c>
    </row>
    <row r="3" spans="1:16" x14ac:dyDescent="0.25">
      <c r="B3" s="173" t="s">
        <v>74</v>
      </c>
      <c r="C3" s="127" t="s">
        <v>75</v>
      </c>
      <c r="D3" s="174"/>
      <c r="E3" s="63" t="s">
        <v>78</v>
      </c>
      <c r="F3" s="63" t="s">
        <v>79</v>
      </c>
      <c r="G3" s="63" t="s">
        <v>80</v>
      </c>
      <c r="H3" s="70"/>
      <c r="I3" s="71"/>
      <c r="J3" s="72" t="s">
        <v>81</v>
      </c>
      <c r="K3" s="68" t="s">
        <v>82</v>
      </c>
      <c r="L3" s="69" t="s">
        <v>83</v>
      </c>
      <c r="M3" s="73"/>
      <c r="N3" s="78" t="s">
        <v>78</v>
      </c>
      <c r="O3" s="68" t="s">
        <v>79</v>
      </c>
      <c r="P3" s="69" t="s">
        <v>80</v>
      </c>
    </row>
    <row r="4" spans="1:16" x14ac:dyDescent="0.25">
      <c r="A4" s="70"/>
      <c r="B4" s="71"/>
      <c r="C4" s="70"/>
      <c r="D4" s="175"/>
      <c r="E4" s="69"/>
      <c r="F4" s="82"/>
      <c r="G4" s="69"/>
      <c r="H4" s="70"/>
      <c r="I4" s="71"/>
      <c r="J4" s="71"/>
      <c r="K4" s="71"/>
      <c r="L4" s="71"/>
      <c r="M4" s="73"/>
      <c r="N4" s="84"/>
      <c r="O4" s="82"/>
      <c r="P4" s="82"/>
    </row>
    <row r="5" spans="1:16" x14ac:dyDescent="0.25">
      <c r="A5" s="85"/>
      <c r="B5" s="71"/>
      <c r="C5" s="70"/>
      <c r="D5" s="69"/>
      <c r="E5" s="75"/>
      <c r="F5" s="76"/>
      <c r="G5" s="76"/>
      <c r="H5" s="70"/>
      <c r="I5" s="176"/>
      <c r="J5" s="83"/>
      <c r="K5" s="83"/>
      <c r="L5" s="83"/>
      <c r="M5" s="77"/>
      <c r="N5" s="75">
        <f t="shared" ref="N5:N23" si="0">E5</f>
        <v>0</v>
      </c>
      <c r="O5" s="76">
        <f t="shared" ref="O5:O23" si="1">F5</f>
        <v>0</v>
      </c>
      <c r="P5" s="76">
        <f t="shared" ref="P5:P23" si="2">G5-I5</f>
        <v>0</v>
      </c>
    </row>
    <row r="6" spans="1:16" x14ac:dyDescent="0.25">
      <c r="A6" s="85"/>
      <c r="B6" s="71"/>
      <c r="C6" s="70"/>
      <c r="D6" s="69"/>
      <c r="E6" s="75"/>
      <c r="F6" s="76"/>
      <c r="G6" s="76"/>
      <c r="H6" s="70"/>
      <c r="I6" s="176"/>
      <c r="J6" s="83"/>
      <c r="K6" s="83"/>
      <c r="L6" s="83"/>
      <c r="M6" s="77"/>
      <c r="N6" s="75">
        <f t="shared" si="0"/>
        <v>0</v>
      </c>
      <c r="O6" s="76">
        <f t="shared" si="1"/>
        <v>0</v>
      </c>
      <c r="P6" s="76">
        <f t="shared" si="2"/>
        <v>0</v>
      </c>
    </row>
    <row r="7" spans="1:16" x14ac:dyDescent="0.25">
      <c r="A7" s="85"/>
      <c r="B7" s="71"/>
      <c r="C7" s="70"/>
      <c r="D7" s="69"/>
      <c r="E7" s="75"/>
      <c r="F7" s="76"/>
      <c r="G7" s="76"/>
      <c r="H7" s="70"/>
      <c r="I7" s="176"/>
      <c r="J7" s="83"/>
      <c r="K7" s="83"/>
      <c r="L7" s="83"/>
      <c r="M7" s="77"/>
      <c r="N7" s="75">
        <f t="shared" si="0"/>
        <v>0</v>
      </c>
      <c r="O7" s="76">
        <f t="shared" si="1"/>
        <v>0</v>
      </c>
      <c r="P7" s="76">
        <f t="shared" si="2"/>
        <v>0</v>
      </c>
    </row>
    <row r="8" spans="1:16" x14ac:dyDescent="0.25">
      <c r="A8"/>
      <c r="B8" s="71"/>
      <c r="C8" s="70"/>
      <c r="D8" s="69"/>
      <c r="E8" s="75"/>
      <c r="F8" s="76"/>
      <c r="G8" s="76"/>
      <c r="H8" s="70"/>
      <c r="I8" s="176"/>
      <c r="J8" s="83"/>
      <c r="K8" s="83"/>
      <c r="L8" s="83"/>
      <c r="M8" s="77"/>
      <c r="N8" s="75">
        <f t="shared" si="0"/>
        <v>0</v>
      </c>
      <c r="O8" s="76">
        <f t="shared" si="1"/>
        <v>0</v>
      </c>
      <c r="P8" s="76">
        <f t="shared" si="2"/>
        <v>0</v>
      </c>
    </row>
    <row r="9" spans="1:16" x14ac:dyDescent="0.25">
      <c r="A9" s="85"/>
      <c r="B9" s="71"/>
      <c r="C9" s="70"/>
      <c r="D9" s="69"/>
      <c r="E9" s="75"/>
      <c r="F9" s="76"/>
      <c r="G9" s="76"/>
      <c r="H9" s="70"/>
      <c r="I9" s="176"/>
      <c r="J9" s="83"/>
      <c r="K9" s="83"/>
      <c r="L9" s="83"/>
      <c r="M9" s="77"/>
      <c r="N9" s="75">
        <f t="shared" si="0"/>
        <v>0</v>
      </c>
      <c r="O9" s="76">
        <f t="shared" si="1"/>
        <v>0</v>
      </c>
      <c r="P9" s="76">
        <f t="shared" si="2"/>
        <v>0</v>
      </c>
    </row>
    <row r="10" spans="1:16" x14ac:dyDescent="0.25">
      <c r="A10" s="85"/>
      <c r="B10" s="71"/>
      <c r="C10" s="70"/>
      <c r="D10" s="69"/>
      <c r="E10" s="75"/>
      <c r="F10" s="76"/>
      <c r="G10" s="76"/>
      <c r="H10" s="70"/>
      <c r="I10" s="176"/>
      <c r="J10" s="83"/>
      <c r="K10" s="83"/>
      <c r="L10" s="83"/>
      <c r="M10" s="77"/>
      <c r="N10" s="75">
        <f t="shared" si="0"/>
        <v>0</v>
      </c>
      <c r="O10" s="76">
        <f t="shared" si="1"/>
        <v>0</v>
      </c>
      <c r="P10" s="76">
        <f t="shared" si="2"/>
        <v>0</v>
      </c>
    </row>
    <row r="11" spans="1:16" x14ac:dyDescent="0.25">
      <c r="A11" s="85"/>
      <c r="B11" s="71"/>
      <c r="C11" s="70"/>
      <c r="D11" s="69"/>
      <c r="E11" s="75"/>
      <c r="F11" s="76"/>
      <c r="G11" s="76"/>
      <c r="H11" s="70"/>
      <c r="I11" s="176"/>
      <c r="J11" s="83"/>
      <c r="K11" s="83"/>
      <c r="L11" s="83"/>
      <c r="M11" s="77"/>
      <c r="N11" s="75">
        <f t="shared" si="0"/>
        <v>0</v>
      </c>
      <c r="O11" s="76">
        <f t="shared" si="1"/>
        <v>0</v>
      </c>
      <c r="P11" s="76">
        <f t="shared" si="2"/>
        <v>0</v>
      </c>
    </row>
    <row r="12" spans="1:16" x14ac:dyDescent="0.25">
      <c r="A12" s="85"/>
      <c r="B12" s="71"/>
      <c r="C12" s="70"/>
      <c r="D12" s="69"/>
      <c r="E12" s="75"/>
      <c r="F12" s="76"/>
      <c r="G12" s="76"/>
      <c r="H12" s="70"/>
      <c r="I12" s="176"/>
      <c r="J12" s="83"/>
      <c r="K12" s="83"/>
      <c r="L12" s="83"/>
      <c r="M12" s="77"/>
      <c r="N12" s="75">
        <f t="shared" si="0"/>
        <v>0</v>
      </c>
      <c r="O12" s="76">
        <f t="shared" si="1"/>
        <v>0</v>
      </c>
      <c r="P12" s="76">
        <f t="shared" si="2"/>
        <v>0</v>
      </c>
    </row>
    <row r="13" spans="1:16" x14ac:dyDescent="0.25">
      <c r="A13" s="85"/>
      <c r="B13" s="71"/>
      <c r="C13" s="70"/>
      <c r="D13" s="69"/>
      <c r="E13" s="75"/>
      <c r="F13" s="76"/>
      <c r="G13" s="76"/>
      <c r="H13" s="70"/>
      <c r="I13" s="176"/>
      <c r="J13" s="83"/>
      <c r="K13" s="83"/>
      <c r="L13" s="83"/>
      <c r="M13" s="77"/>
      <c r="N13" s="75">
        <f t="shared" si="0"/>
        <v>0</v>
      </c>
      <c r="O13" s="76">
        <f t="shared" si="1"/>
        <v>0</v>
      </c>
      <c r="P13" s="76">
        <f t="shared" si="2"/>
        <v>0</v>
      </c>
    </row>
    <row r="14" spans="1:16" x14ac:dyDescent="0.25">
      <c r="A14" s="85"/>
      <c r="B14" s="71"/>
      <c r="C14" s="70"/>
      <c r="D14" s="69"/>
      <c r="E14" s="75"/>
      <c r="F14" s="76"/>
      <c r="G14" s="76"/>
      <c r="H14" s="70"/>
      <c r="I14" s="176"/>
      <c r="J14" s="83"/>
      <c r="K14" s="83"/>
      <c r="L14" s="83"/>
      <c r="M14" s="77"/>
      <c r="N14" s="75">
        <f t="shared" si="0"/>
        <v>0</v>
      </c>
      <c r="O14" s="76">
        <f t="shared" si="1"/>
        <v>0</v>
      </c>
      <c r="P14" s="76">
        <f t="shared" si="2"/>
        <v>0</v>
      </c>
    </row>
    <row r="15" spans="1:16" x14ac:dyDescent="0.25">
      <c r="A15" s="85"/>
      <c r="B15" s="71"/>
      <c r="C15" s="70"/>
      <c r="D15" s="69"/>
      <c r="E15" s="75"/>
      <c r="F15" s="76"/>
      <c r="G15" s="76"/>
      <c r="H15" s="70"/>
      <c r="I15" s="176"/>
      <c r="J15" s="83"/>
      <c r="K15" s="83"/>
      <c r="L15" s="83"/>
      <c r="M15" s="77"/>
      <c r="N15" s="75">
        <f t="shared" si="0"/>
        <v>0</v>
      </c>
      <c r="O15" s="76">
        <f t="shared" si="1"/>
        <v>0</v>
      </c>
      <c r="P15" s="76">
        <f t="shared" si="2"/>
        <v>0</v>
      </c>
    </row>
    <row r="16" spans="1:16" ht="12.65" customHeight="1" x14ac:dyDescent="0.25">
      <c r="A16" s="85"/>
      <c r="B16" s="71"/>
      <c r="C16" s="70"/>
      <c r="D16" s="69"/>
      <c r="E16" s="75"/>
      <c r="F16" s="76"/>
      <c r="G16" s="76"/>
      <c r="H16" s="70"/>
      <c r="I16" s="176"/>
      <c r="J16" s="83"/>
      <c r="K16" s="83"/>
      <c r="L16" s="83"/>
      <c r="M16" s="77"/>
      <c r="N16" s="75">
        <f t="shared" si="0"/>
        <v>0</v>
      </c>
      <c r="O16" s="76">
        <f t="shared" si="1"/>
        <v>0</v>
      </c>
      <c r="P16" s="76">
        <f t="shared" si="2"/>
        <v>0</v>
      </c>
    </row>
    <row r="17" spans="1:16" x14ac:dyDescent="0.25">
      <c r="A17" s="85"/>
      <c r="B17" s="71"/>
      <c r="C17" s="70"/>
      <c r="D17" s="69"/>
      <c r="E17" s="75"/>
      <c r="F17" s="76"/>
      <c r="G17" s="76"/>
      <c r="H17" s="70"/>
      <c r="I17" s="176"/>
      <c r="J17" s="83"/>
      <c r="K17" s="83"/>
      <c r="L17" s="83"/>
      <c r="M17" s="77"/>
      <c r="N17" s="75">
        <f t="shared" si="0"/>
        <v>0</v>
      </c>
      <c r="O17" s="76">
        <f t="shared" si="1"/>
        <v>0</v>
      </c>
      <c r="P17" s="76">
        <f t="shared" si="2"/>
        <v>0</v>
      </c>
    </row>
    <row r="18" spans="1:16" x14ac:dyDescent="0.25">
      <c r="A18" s="85"/>
      <c r="B18" s="71"/>
      <c r="C18" s="70"/>
      <c r="D18" s="69"/>
      <c r="E18" s="75"/>
      <c r="F18" s="76"/>
      <c r="G18" s="76"/>
      <c r="H18" s="70"/>
      <c r="I18" s="176"/>
      <c r="J18" s="83"/>
      <c r="K18" s="83"/>
      <c r="L18" s="83"/>
      <c r="M18" s="77"/>
      <c r="N18" s="75">
        <f t="shared" si="0"/>
        <v>0</v>
      </c>
      <c r="O18" s="76">
        <f t="shared" si="1"/>
        <v>0</v>
      </c>
      <c r="P18" s="76">
        <f t="shared" si="2"/>
        <v>0</v>
      </c>
    </row>
    <row r="19" spans="1:16" x14ac:dyDescent="0.25">
      <c r="A19" s="85"/>
      <c r="B19" s="71"/>
      <c r="C19" s="70"/>
      <c r="D19" s="69"/>
      <c r="E19" s="75"/>
      <c r="F19" s="76"/>
      <c r="G19" s="76"/>
      <c r="H19" s="70"/>
      <c r="I19" s="176"/>
      <c r="J19" s="83"/>
      <c r="K19" s="83"/>
      <c r="L19" s="83"/>
      <c r="M19" s="77"/>
      <c r="N19" s="75">
        <f t="shared" si="0"/>
        <v>0</v>
      </c>
      <c r="O19" s="76">
        <f t="shared" si="1"/>
        <v>0</v>
      </c>
      <c r="P19" s="76">
        <f t="shared" si="2"/>
        <v>0</v>
      </c>
    </row>
    <row r="20" spans="1:16" x14ac:dyDescent="0.25">
      <c r="A20" s="85"/>
      <c r="B20" s="71"/>
      <c r="C20" s="70"/>
      <c r="D20" s="69"/>
      <c r="E20" s="75"/>
      <c r="F20" s="76"/>
      <c r="G20" s="76"/>
      <c r="H20" s="70"/>
      <c r="I20" s="176"/>
      <c r="J20" s="83"/>
      <c r="K20" s="83"/>
      <c r="L20" s="83"/>
      <c r="M20" s="77"/>
      <c r="N20" s="75">
        <f t="shared" si="0"/>
        <v>0</v>
      </c>
      <c r="O20" s="76">
        <f t="shared" si="1"/>
        <v>0</v>
      </c>
      <c r="P20" s="76">
        <f t="shared" si="2"/>
        <v>0</v>
      </c>
    </row>
    <row r="21" spans="1:16" x14ac:dyDescent="0.25">
      <c r="A21" s="160"/>
      <c r="B21" s="71"/>
      <c r="C21" s="70"/>
      <c r="D21" s="69"/>
      <c r="E21" s="75"/>
      <c r="F21" s="76"/>
      <c r="G21" s="76"/>
      <c r="H21" s="70"/>
      <c r="I21" s="176"/>
      <c r="J21" s="83"/>
      <c r="K21" s="83"/>
      <c r="L21" s="83"/>
      <c r="M21" s="77"/>
      <c r="N21" s="75">
        <f t="shared" si="0"/>
        <v>0</v>
      </c>
      <c r="O21" s="76">
        <f t="shared" si="1"/>
        <v>0</v>
      </c>
      <c r="P21" s="76">
        <f t="shared" si="2"/>
        <v>0</v>
      </c>
    </row>
    <row r="22" spans="1:16" x14ac:dyDescent="0.25">
      <c r="B22" s="71"/>
      <c r="C22" s="70"/>
      <c r="D22" s="69"/>
      <c r="E22" s="75"/>
      <c r="F22" s="76"/>
      <c r="G22" s="76"/>
      <c r="H22" s="70"/>
      <c r="I22" s="176"/>
      <c r="J22" s="83"/>
      <c r="K22" s="83"/>
      <c r="L22" s="83"/>
      <c r="M22" s="77"/>
      <c r="N22" s="75">
        <f t="shared" si="0"/>
        <v>0</v>
      </c>
      <c r="O22" s="76">
        <f t="shared" si="1"/>
        <v>0</v>
      </c>
      <c r="P22" s="76">
        <f t="shared" si="2"/>
        <v>0</v>
      </c>
    </row>
    <row r="23" spans="1:16" x14ac:dyDescent="0.25">
      <c r="B23" s="71"/>
      <c r="C23" s="70"/>
      <c r="D23" s="69"/>
      <c r="E23" s="75"/>
      <c r="F23" s="76"/>
      <c r="G23" s="76"/>
      <c r="H23" s="70"/>
      <c r="I23" s="176"/>
      <c r="J23" s="83"/>
      <c r="K23" s="83"/>
      <c r="L23" s="83"/>
      <c r="M23" s="77"/>
      <c r="N23" s="75">
        <f t="shared" si="0"/>
        <v>0</v>
      </c>
      <c r="O23" s="76">
        <f t="shared" si="1"/>
        <v>0</v>
      </c>
      <c r="P23" s="76">
        <f t="shared" si="2"/>
        <v>0</v>
      </c>
    </row>
  </sheetData>
  <sheetProtection selectLockedCells="1" selectUnlockedCells="1"/>
  <mergeCells count="1">
    <mergeCell ref="K1:P1"/>
  </mergeCells>
  <printOptions horizontalCentered="1" verticalCentered="1"/>
  <pageMargins left="0.31527777777777777" right="0.31527777777777777" top="1" bottom="1" header="0.51180555555555551" footer="0"/>
  <pageSetup paperSize="9" firstPageNumber="0" orientation="landscape" horizontalDpi="300" verticalDpi="300"/>
  <headerFooter alignWithMargins="0">
    <oddFooter>&amp;C&amp;A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"/>
  <sheetViews>
    <sheetView zoomScale="80" zoomScaleNormal="80" workbookViewId="0"/>
  </sheetViews>
  <sheetFormatPr defaultColWidth="10.81640625" defaultRowHeight="12.5" x14ac:dyDescent="0.25"/>
  <sheetData>
    <row r="1" spans="1:14" ht="15" x14ac:dyDescent="0.4">
      <c r="A1" s="37" t="s">
        <v>49</v>
      </c>
      <c r="B1" s="44" t="s">
        <v>241</v>
      </c>
      <c r="C1" s="44" t="s">
        <v>242</v>
      </c>
      <c r="D1" s="44" t="s">
        <v>243</v>
      </c>
      <c r="E1" s="50" t="s">
        <v>22</v>
      </c>
      <c r="F1" s="51" t="s">
        <v>24</v>
      </c>
      <c r="G1" s="57" t="s">
        <v>244</v>
      </c>
      <c r="H1" s="57" t="s">
        <v>245</v>
      </c>
      <c r="I1" s="51" t="s">
        <v>26</v>
      </c>
      <c r="J1" s="177" t="s">
        <v>60</v>
      </c>
      <c r="K1" s="177" t="s">
        <v>246</v>
      </c>
      <c r="L1" s="178" t="s">
        <v>1</v>
      </c>
      <c r="M1" s="178" t="s">
        <v>3</v>
      </c>
      <c r="N1" s="178" t="s">
        <v>5</v>
      </c>
    </row>
    <row r="2" spans="1:14" x14ac:dyDescent="0.25">
      <c r="B2" s="179"/>
      <c r="C2" s="180"/>
      <c r="D2" s="180"/>
      <c r="J2" s="181" t="e">
        <f t="shared" ref="J2:J25" si="0">G2*COS(I2*PI()/180)/SIN((E2+I2)*PI()/180)</f>
        <v>#DIV/0!</v>
      </c>
      <c r="K2" s="181">
        <f t="shared" ref="K2:K25" si="1">H2</f>
        <v>0</v>
      </c>
      <c r="L2" s="181" t="e">
        <f t="shared" ref="L2:L25" si="2">B2-(J2*COS(E2*PI()/180))*SIN((F2-13)*PI()/180)</f>
        <v>#DIV/0!</v>
      </c>
      <c r="M2" s="181" t="e">
        <f t="shared" ref="M2:M25" si="3">C2-(J2*COS(E2*PI()/180))*COS((F2-13)*PI()/180)</f>
        <v>#DIV/0!</v>
      </c>
      <c r="N2" s="181" t="e">
        <f t="shared" ref="N2:N25" si="4">D2+G2*COS(E2*PI()/180)*SIN(I2*PI()/180)/SIN((E2+I2)*PI()/180)</f>
        <v>#DIV/0!</v>
      </c>
    </row>
    <row r="3" spans="1:14" x14ac:dyDescent="0.25">
      <c r="J3" s="181" t="e">
        <f t="shared" si="0"/>
        <v>#DIV/0!</v>
      </c>
      <c r="K3" s="181">
        <f t="shared" si="1"/>
        <v>0</v>
      </c>
      <c r="L3" s="181" t="e">
        <f t="shared" si="2"/>
        <v>#DIV/0!</v>
      </c>
      <c r="M3" s="181" t="e">
        <f t="shared" si="3"/>
        <v>#DIV/0!</v>
      </c>
      <c r="N3" s="181" t="e">
        <f t="shared" si="4"/>
        <v>#DIV/0!</v>
      </c>
    </row>
    <row r="4" spans="1:14" x14ac:dyDescent="0.25">
      <c r="J4" s="181" t="e">
        <f t="shared" si="0"/>
        <v>#DIV/0!</v>
      </c>
      <c r="K4" s="181">
        <f t="shared" si="1"/>
        <v>0</v>
      </c>
      <c r="L4" s="181" t="e">
        <f t="shared" si="2"/>
        <v>#DIV/0!</v>
      </c>
      <c r="M4" s="181" t="e">
        <f t="shared" si="3"/>
        <v>#DIV/0!</v>
      </c>
      <c r="N4" s="181" t="e">
        <f t="shared" si="4"/>
        <v>#DIV/0!</v>
      </c>
    </row>
    <row r="5" spans="1:14" x14ac:dyDescent="0.25">
      <c r="J5" s="181" t="e">
        <f t="shared" si="0"/>
        <v>#DIV/0!</v>
      </c>
      <c r="K5" s="181">
        <f t="shared" si="1"/>
        <v>0</v>
      </c>
      <c r="L5" s="181" t="e">
        <f t="shared" si="2"/>
        <v>#DIV/0!</v>
      </c>
      <c r="M5" s="181" t="e">
        <f t="shared" si="3"/>
        <v>#DIV/0!</v>
      </c>
      <c r="N5" s="181" t="e">
        <f t="shared" si="4"/>
        <v>#DIV/0!</v>
      </c>
    </row>
    <row r="6" spans="1:14" x14ac:dyDescent="0.25">
      <c r="J6" s="181" t="e">
        <f t="shared" si="0"/>
        <v>#DIV/0!</v>
      </c>
      <c r="K6" s="181">
        <f t="shared" si="1"/>
        <v>0</v>
      </c>
      <c r="L6" s="181" t="e">
        <f t="shared" si="2"/>
        <v>#DIV/0!</v>
      </c>
      <c r="M6" s="181" t="e">
        <f t="shared" si="3"/>
        <v>#DIV/0!</v>
      </c>
      <c r="N6" s="181" t="e">
        <f t="shared" si="4"/>
        <v>#DIV/0!</v>
      </c>
    </row>
    <row r="7" spans="1:14" x14ac:dyDescent="0.25">
      <c r="J7" s="181" t="e">
        <f t="shared" si="0"/>
        <v>#DIV/0!</v>
      </c>
      <c r="K7" s="181">
        <f t="shared" si="1"/>
        <v>0</v>
      </c>
      <c r="L7" s="181" t="e">
        <f t="shared" si="2"/>
        <v>#DIV/0!</v>
      </c>
      <c r="M7" s="181" t="e">
        <f t="shared" si="3"/>
        <v>#DIV/0!</v>
      </c>
      <c r="N7" s="181" t="e">
        <f t="shared" si="4"/>
        <v>#DIV/0!</v>
      </c>
    </row>
    <row r="8" spans="1:14" x14ac:dyDescent="0.25">
      <c r="J8" s="181" t="e">
        <f t="shared" si="0"/>
        <v>#DIV/0!</v>
      </c>
      <c r="K8" s="181">
        <f t="shared" si="1"/>
        <v>0</v>
      </c>
      <c r="L8" s="181" t="e">
        <f t="shared" si="2"/>
        <v>#DIV/0!</v>
      </c>
      <c r="M8" s="181" t="e">
        <f t="shared" si="3"/>
        <v>#DIV/0!</v>
      </c>
      <c r="N8" s="181" t="e">
        <f t="shared" si="4"/>
        <v>#DIV/0!</v>
      </c>
    </row>
    <row r="9" spans="1:14" x14ac:dyDescent="0.25">
      <c r="J9" s="181" t="e">
        <f t="shared" si="0"/>
        <v>#DIV/0!</v>
      </c>
      <c r="K9" s="181">
        <f t="shared" si="1"/>
        <v>0</v>
      </c>
      <c r="L9" s="181" t="e">
        <f t="shared" si="2"/>
        <v>#DIV/0!</v>
      </c>
      <c r="M9" s="181" t="e">
        <f t="shared" si="3"/>
        <v>#DIV/0!</v>
      </c>
      <c r="N9" s="181" t="e">
        <f t="shared" si="4"/>
        <v>#DIV/0!</v>
      </c>
    </row>
    <row r="10" spans="1:14" x14ac:dyDescent="0.25">
      <c r="J10" s="181" t="e">
        <f t="shared" si="0"/>
        <v>#DIV/0!</v>
      </c>
      <c r="K10" s="181">
        <f t="shared" si="1"/>
        <v>0</v>
      </c>
      <c r="L10" s="181" t="e">
        <f t="shared" si="2"/>
        <v>#DIV/0!</v>
      </c>
      <c r="M10" s="181" t="e">
        <f t="shared" si="3"/>
        <v>#DIV/0!</v>
      </c>
      <c r="N10" s="181" t="e">
        <f t="shared" si="4"/>
        <v>#DIV/0!</v>
      </c>
    </row>
    <row r="11" spans="1:14" x14ac:dyDescent="0.25">
      <c r="J11" s="181" t="e">
        <f t="shared" si="0"/>
        <v>#DIV/0!</v>
      </c>
      <c r="K11" s="181">
        <f t="shared" si="1"/>
        <v>0</v>
      </c>
      <c r="L11" s="181" t="e">
        <f t="shared" si="2"/>
        <v>#DIV/0!</v>
      </c>
      <c r="M11" s="181" t="e">
        <f t="shared" si="3"/>
        <v>#DIV/0!</v>
      </c>
      <c r="N11" s="181" t="e">
        <f t="shared" si="4"/>
        <v>#DIV/0!</v>
      </c>
    </row>
    <row r="12" spans="1:14" x14ac:dyDescent="0.25">
      <c r="J12" s="181" t="e">
        <f t="shared" si="0"/>
        <v>#DIV/0!</v>
      </c>
      <c r="K12" s="181">
        <f t="shared" si="1"/>
        <v>0</v>
      </c>
      <c r="L12" s="181" t="e">
        <f t="shared" si="2"/>
        <v>#DIV/0!</v>
      </c>
      <c r="M12" s="181" t="e">
        <f t="shared" si="3"/>
        <v>#DIV/0!</v>
      </c>
      <c r="N12" s="181" t="e">
        <f t="shared" si="4"/>
        <v>#DIV/0!</v>
      </c>
    </row>
    <row r="13" spans="1:14" x14ac:dyDescent="0.25">
      <c r="J13" s="181" t="e">
        <f t="shared" si="0"/>
        <v>#DIV/0!</v>
      </c>
      <c r="K13" s="181">
        <f t="shared" si="1"/>
        <v>0</v>
      </c>
      <c r="L13" s="181" t="e">
        <f t="shared" si="2"/>
        <v>#DIV/0!</v>
      </c>
      <c r="M13" s="181" t="e">
        <f t="shared" si="3"/>
        <v>#DIV/0!</v>
      </c>
      <c r="N13" s="181" t="e">
        <f t="shared" si="4"/>
        <v>#DIV/0!</v>
      </c>
    </row>
    <row r="14" spans="1:14" x14ac:dyDescent="0.25">
      <c r="J14" s="181" t="e">
        <f t="shared" si="0"/>
        <v>#DIV/0!</v>
      </c>
      <c r="K14" s="181">
        <f t="shared" si="1"/>
        <v>0</v>
      </c>
      <c r="L14" s="181" t="e">
        <f t="shared" si="2"/>
        <v>#DIV/0!</v>
      </c>
      <c r="M14" s="181" t="e">
        <f t="shared" si="3"/>
        <v>#DIV/0!</v>
      </c>
      <c r="N14" s="181" t="e">
        <f t="shared" si="4"/>
        <v>#DIV/0!</v>
      </c>
    </row>
    <row r="15" spans="1:14" x14ac:dyDescent="0.25">
      <c r="J15" s="181" t="e">
        <f t="shared" si="0"/>
        <v>#DIV/0!</v>
      </c>
      <c r="K15" s="181">
        <f t="shared" si="1"/>
        <v>0</v>
      </c>
      <c r="L15" s="181" t="e">
        <f t="shared" si="2"/>
        <v>#DIV/0!</v>
      </c>
      <c r="M15" s="181" t="e">
        <f t="shared" si="3"/>
        <v>#DIV/0!</v>
      </c>
      <c r="N15" s="181" t="e">
        <f t="shared" si="4"/>
        <v>#DIV/0!</v>
      </c>
    </row>
    <row r="16" spans="1:14" x14ac:dyDescent="0.25">
      <c r="J16" s="181" t="e">
        <f t="shared" si="0"/>
        <v>#DIV/0!</v>
      </c>
      <c r="K16" s="181">
        <f t="shared" si="1"/>
        <v>0</v>
      </c>
      <c r="L16" s="181" t="e">
        <f t="shared" si="2"/>
        <v>#DIV/0!</v>
      </c>
      <c r="M16" s="181" t="e">
        <f t="shared" si="3"/>
        <v>#DIV/0!</v>
      </c>
      <c r="N16" s="181" t="e">
        <f t="shared" si="4"/>
        <v>#DIV/0!</v>
      </c>
    </row>
    <row r="17" spans="10:14" x14ac:dyDescent="0.25">
      <c r="J17" s="181" t="e">
        <f t="shared" si="0"/>
        <v>#DIV/0!</v>
      </c>
      <c r="K17" s="181">
        <f t="shared" si="1"/>
        <v>0</v>
      </c>
      <c r="L17" s="181" t="e">
        <f t="shared" si="2"/>
        <v>#DIV/0!</v>
      </c>
      <c r="M17" s="181" t="e">
        <f t="shared" si="3"/>
        <v>#DIV/0!</v>
      </c>
      <c r="N17" s="181" t="e">
        <f t="shared" si="4"/>
        <v>#DIV/0!</v>
      </c>
    </row>
    <row r="18" spans="10:14" x14ac:dyDescent="0.25">
      <c r="J18" s="181" t="e">
        <f t="shared" si="0"/>
        <v>#DIV/0!</v>
      </c>
      <c r="K18" s="181">
        <f t="shared" si="1"/>
        <v>0</v>
      </c>
      <c r="L18" s="181" t="e">
        <f t="shared" si="2"/>
        <v>#DIV/0!</v>
      </c>
      <c r="M18" s="181" t="e">
        <f t="shared" si="3"/>
        <v>#DIV/0!</v>
      </c>
      <c r="N18" s="181" t="e">
        <f t="shared" si="4"/>
        <v>#DIV/0!</v>
      </c>
    </row>
    <row r="19" spans="10:14" x14ac:dyDescent="0.25">
      <c r="J19" s="181" t="e">
        <f t="shared" si="0"/>
        <v>#DIV/0!</v>
      </c>
      <c r="K19" s="181">
        <f t="shared" si="1"/>
        <v>0</v>
      </c>
      <c r="L19" s="181" t="e">
        <f t="shared" si="2"/>
        <v>#DIV/0!</v>
      </c>
      <c r="M19" s="181" t="e">
        <f t="shared" si="3"/>
        <v>#DIV/0!</v>
      </c>
      <c r="N19" s="181" t="e">
        <f t="shared" si="4"/>
        <v>#DIV/0!</v>
      </c>
    </row>
    <row r="20" spans="10:14" x14ac:dyDescent="0.25">
      <c r="J20" s="181" t="e">
        <f t="shared" si="0"/>
        <v>#DIV/0!</v>
      </c>
      <c r="K20" s="181">
        <f t="shared" si="1"/>
        <v>0</v>
      </c>
      <c r="L20" s="181" t="e">
        <f t="shared" si="2"/>
        <v>#DIV/0!</v>
      </c>
      <c r="M20" s="181" t="e">
        <f t="shared" si="3"/>
        <v>#DIV/0!</v>
      </c>
      <c r="N20" s="181" t="e">
        <f t="shared" si="4"/>
        <v>#DIV/0!</v>
      </c>
    </row>
    <row r="21" spans="10:14" x14ac:dyDescent="0.25">
      <c r="J21" s="181" t="e">
        <f t="shared" si="0"/>
        <v>#DIV/0!</v>
      </c>
      <c r="K21" s="181">
        <f t="shared" si="1"/>
        <v>0</v>
      </c>
      <c r="L21" s="181" t="e">
        <f t="shared" si="2"/>
        <v>#DIV/0!</v>
      </c>
      <c r="M21" s="181" t="e">
        <f t="shared" si="3"/>
        <v>#DIV/0!</v>
      </c>
      <c r="N21" s="181" t="e">
        <f t="shared" si="4"/>
        <v>#DIV/0!</v>
      </c>
    </row>
    <row r="22" spans="10:14" x14ac:dyDescent="0.25">
      <c r="J22" s="181" t="e">
        <f t="shared" si="0"/>
        <v>#DIV/0!</v>
      </c>
      <c r="K22" s="181">
        <f t="shared" si="1"/>
        <v>0</v>
      </c>
      <c r="L22" s="181" t="e">
        <f t="shared" si="2"/>
        <v>#DIV/0!</v>
      </c>
      <c r="M22" s="181" t="e">
        <f t="shared" si="3"/>
        <v>#DIV/0!</v>
      </c>
      <c r="N22" s="181" t="e">
        <f t="shared" si="4"/>
        <v>#DIV/0!</v>
      </c>
    </row>
    <row r="23" spans="10:14" x14ac:dyDescent="0.25">
      <c r="J23" s="181" t="e">
        <f t="shared" si="0"/>
        <v>#DIV/0!</v>
      </c>
      <c r="K23" s="181">
        <f t="shared" si="1"/>
        <v>0</v>
      </c>
      <c r="L23" s="181" t="e">
        <f t="shared" si="2"/>
        <v>#DIV/0!</v>
      </c>
      <c r="M23" s="181" t="e">
        <f t="shared" si="3"/>
        <v>#DIV/0!</v>
      </c>
      <c r="N23" s="181" t="e">
        <f t="shared" si="4"/>
        <v>#DIV/0!</v>
      </c>
    </row>
    <row r="24" spans="10:14" x14ac:dyDescent="0.25">
      <c r="J24" s="181" t="e">
        <f t="shared" si="0"/>
        <v>#DIV/0!</v>
      </c>
      <c r="K24" s="181">
        <f t="shared" si="1"/>
        <v>0</v>
      </c>
      <c r="L24" s="181" t="e">
        <f t="shared" si="2"/>
        <v>#DIV/0!</v>
      </c>
      <c r="M24" s="181" t="e">
        <f t="shared" si="3"/>
        <v>#DIV/0!</v>
      </c>
      <c r="N24" s="181" t="e">
        <f t="shared" si="4"/>
        <v>#DIV/0!</v>
      </c>
    </row>
    <row r="25" spans="10:14" x14ac:dyDescent="0.25">
      <c r="J25" s="181" t="e">
        <f t="shared" si="0"/>
        <v>#DIV/0!</v>
      </c>
      <c r="K25" s="181">
        <f t="shared" si="1"/>
        <v>0</v>
      </c>
      <c r="L25" s="181" t="e">
        <f t="shared" si="2"/>
        <v>#DIV/0!</v>
      </c>
      <c r="M25" s="181" t="e">
        <f t="shared" si="3"/>
        <v>#DIV/0!</v>
      </c>
      <c r="N25" s="181" t="e">
        <f t="shared" si="4"/>
        <v>#DIV/0!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2"/>
  <sheetViews>
    <sheetView zoomScale="80" zoomScaleNormal="80" workbookViewId="0">
      <selection activeCell="L6" activeCellId="1" sqref="H47:J47 L6"/>
    </sheetView>
  </sheetViews>
  <sheetFormatPr defaultColWidth="11.08984375" defaultRowHeight="25" x14ac:dyDescent="0.5"/>
  <cols>
    <col min="1" max="7" width="12.54296875" style="182" customWidth="1"/>
    <col min="8" max="8" width="30.54296875" style="182" customWidth="1"/>
    <col min="9" max="9" width="11.54296875" style="182" customWidth="1"/>
    <col min="10" max="10" width="30.54296875" style="182" customWidth="1"/>
    <col min="11" max="16384" width="11.08984375" style="182"/>
  </cols>
  <sheetData>
    <row r="1" spans="1:10" ht="25.4" customHeight="1" x14ac:dyDescent="0.5">
      <c r="A1" s="383" t="s">
        <v>247</v>
      </c>
      <c r="B1" s="383"/>
      <c r="C1" s="383"/>
      <c r="D1" s="383"/>
      <c r="E1" s="383"/>
      <c r="F1" s="383"/>
      <c r="G1" s="383"/>
      <c r="H1" s="383"/>
      <c r="I1" s="383"/>
      <c r="J1" s="383"/>
    </row>
    <row r="2" spans="1:10" ht="25.4" customHeight="1" x14ac:dyDescent="0.5">
      <c r="A2" s="384" t="s">
        <v>248</v>
      </c>
      <c r="B2" s="384"/>
      <c r="C2" s="384"/>
      <c r="D2" s="384"/>
      <c r="E2" s="385" t="s">
        <v>249</v>
      </c>
      <c r="F2" s="385"/>
      <c r="G2" s="385" t="s">
        <v>250</v>
      </c>
      <c r="H2" s="385"/>
      <c r="I2" s="385" t="s">
        <v>251</v>
      </c>
      <c r="J2" s="385"/>
    </row>
    <row r="3" spans="1:10" s="189" customFormat="1" ht="54" customHeight="1" x14ac:dyDescent="0.25">
      <c r="A3" s="183" t="s">
        <v>252</v>
      </c>
      <c r="B3" s="184" t="s">
        <v>253</v>
      </c>
      <c r="C3" s="185" t="s">
        <v>254</v>
      </c>
      <c r="D3" s="185" t="s">
        <v>255</v>
      </c>
      <c r="E3" s="185" t="s">
        <v>256</v>
      </c>
      <c r="F3" s="186" t="s">
        <v>257</v>
      </c>
      <c r="G3" s="187" t="s">
        <v>258</v>
      </c>
      <c r="H3" s="185" t="s">
        <v>259</v>
      </c>
      <c r="I3" s="185" t="s">
        <v>260</v>
      </c>
      <c r="J3" s="188" t="s">
        <v>261</v>
      </c>
    </row>
    <row r="4" spans="1:10" ht="44.5" x14ac:dyDescent="0.85">
      <c r="A4" s="190"/>
      <c r="B4" s="190"/>
      <c r="C4" s="190"/>
      <c r="D4" s="190"/>
      <c r="E4" s="190"/>
      <c r="F4" s="190"/>
      <c r="G4" s="190"/>
      <c r="H4" s="190"/>
      <c r="I4" s="190"/>
      <c r="J4" s="190"/>
    </row>
    <row r="5" spans="1:10" ht="44.5" x14ac:dyDescent="0.85">
      <c r="A5" s="191"/>
      <c r="B5" s="191"/>
      <c r="C5" s="191"/>
      <c r="D5" s="191"/>
      <c r="E5" s="191"/>
      <c r="F5" s="191"/>
      <c r="G5" s="191"/>
      <c r="H5" s="191"/>
      <c r="I5" s="191"/>
      <c r="J5" s="191"/>
    </row>
    <row r="6" spans="1:10" ht="44.5" x14ac:dyDescent="0.85">
      <c r="A6" s="191"/>
      <c r="B6" s="191"/>
      <c r="C6" s="191"/>
      <c r="D6" s="191"/>
      <c r="E6" s="191"/>
      <c r="F6" s="191"/>
      <c r="G6" s="191"/>
      <c r="H6" s="191"/>
      <c r="I6" s="191"/>
      <c r="J6" s="191"/>
    </row>
    <row r="7" spans="1:10" ht="44.5" x14ac:dyDescent="0.85">
      <c r="A7" s="191"/>
      <c r="B7" s="191"/>
      <c r="C7" s="191"/>
      <c r="D7" s="191"/>
      <c r="E7" s="191"/>
      <c r="F7" s="191"/>
      <c r="G7" s="191"/>
      <c r="H7" s="191"/>
      <c r="I7" s="191"/>
      <c r="J7" s="191"/>
    </row>
    <row r="8" spans="1:10" ht="44.5" x14ac:dyDescent="0.85">
      <c r="A8" s="191"/>
      <c r="B8" s="191"/>
      <c r="C8" s="191"/>
      <c r="D8" s="191"/>
      <c r="E8" s="191"/>
      <c r="F8" s="191"/>
      <c r="G8" s="191"/>
      <c r="H8" s="191"/>
      <c r="I8" s="191"/>
      <c r="J8" s="191"/>
    </row>
    <row r="9" spans="1:10" ht="44.5" x14ac:dyDescent="0.85">
      <c r="A9" s="191"/>
      <c r="B9" s="191"/>
      <c r="C9" s="191"/>
      <c r="D9" s="191"/>
      <c r="E9" s="191"/>
      <c r="F9" s="191"/>
      <c r="G9" s="191"/>
      <c r="H9" s="191"/>
      <c r="I9" s="191"/>
      <c r="J9" s="191"/>
    </row>
    <row r="10" spans="1:10" ht="44.5" x14ac:dyDescent="0.85">
      <c r="A10" s="191"/>
      <c r="B10" s="191"/>
      <c r="C10" s="191"/>
      <c r="D10" s="191"/>
      <c r="E10" s="191"/>
      <c r="F10" s="191"/>
      <c r="G10" s="191"/>
      <c r="H10" s="191"/>
      <c r="I10" s="191"/>
      <c r="J10" s="191"/>
    </row>
    <row r="11" spans="1:10" ht="44.5" x14ac:dyDescent="0.85">
      <c r="A11" s="191"/>
      <c r="B11" s="191"/>
      <c r="C11" s="191"/>
      <c r="D11" s="191"/>
      <c r="E11" s="191"/>
      <c r="F11" s="191"/>
      <c r="G11" s="191"/>
      <c r="H11" s="191"/>
      <c r="I11" s="191"/>
      <c r="J11" s="191"/>
    </row>
    <row r="12" spans="1:10" ht="44.5" x14ac:dyDescent="0.85">
      <c r="A12" s="191"/>
      <c r="B12" s="191"/>
      <c r="C12" s="191"/>
      <c r="D12" s="191"/>
      <c r="E12" s="191"/>
      <c r="F12" s="191"/>
      <c r="G12" s="191"/>
      <c r="H12" s="191"/>
      <c r="I12" s="191"/>
      <c r="J12" s="191"/>
    </row>
    <row r="13" spans="1:10" ht="44.5" x14ac:dyDescent="0.85">
      <c r="A13" s="191"/>
      <c r="B13" s="191"/>
      <c r="C13" s="191"/>
      <c r="D13" s="191"/>
      <c r="E13" s="191"/>
      <c r="F13" s="191"/>
      <c r="G13" s="191"/>
      <c r="H13" s="191"/>
      <c r="I13" s="191"/>
      <c r="J13" s="191"/>
    </row>
    <row r="14" spans="1:10" ht="44.5" x14ac:dyDescent="0.85">
      <c r="A14" s="191"/>
      <c r="B14" s="191"/>
      <c r="C14" s="191"/>
      <c r="D14" s="191"/>
      <c r="E14" s="191"/>
      <c r="F14" s="191"/>
      <c r="G14" s="191"/>
      <c r="H14" s="191"/>
      <c r="I14" s="191"/>
      <c r="J14" s="191"/>
    </row>
    <row r="15" spans="1:10" ht="44.5" x14ac:dyDescent="0.85">
      <c r="A15" s="191"/>
      <c r="B15" s="191"/>
      <c r="C15" s="191"/>
      <c r="D15" s="191"/>
      <c r="E15" s="191"/>
      <c r="F15" s="191"/>
      <c r="G15" s="191"/>
      <c r="H15" s="191"/>
      <c r="I15" s="191"/>
      <c r="J15" s="191"/>
    </row>
    <row r="16" spans="1:10" ht="44.5" x14ac:dyDescent="0.85">
      <c r="A16" s="191"/>
      <c r="B16" s="191"/>
      <c r="C16" s="191"/>
      <c r="D16" s="191"/>
      <c r="E16" s="191"/>
      <c r="F16" s="191"/>
      <c r="G16" s="191"/>
      <c r="H16" s="191"/>
      <c r="I16" s="191"/>
      <c r="J16" s="191"/>
    </row>
    <row r="17" spans="1:10" ht="44.5" x14ac:dyDescent="0.85">
      <c r="A17" s="191"/>
      <c r="B17" s="191"/>
      <c r="C17" s="191"/>
      <c r="D17" s="191"/>
      <c r="E17" s="191"/>
      <c r="F17" s="191"/>
      <c r="G17" s="191"/>
      <c r="H17" s="191"/>
      <c r="I17" s="191"/>
      <c r="J17" s="191"/>
    </row>
    <row r="18" spans="1:10" ht="44.5" x14ac:dyDescent="0.85">
      <c r="A18" s="191"/>
      <c r="B18" s="191"/>
      <c r="C18" s="191"/>
      <c r="D18" s="191"/>
      <c r="E18" s="191"/>
      <c r="F18" s="191"/>
      <c r="G18" s="191"/>
      <c r="H18" s="191"/>
      <c r="I18" s="191"/>
      <c r="J18" s="191"/>
    </row>
    <row r="19" spans="1:10" ht="44.5" x14ac:dyDescent="0.85">
      <c r="A19" s="191"/>
      <c r="B19" s="191"/>
      <c r="C19" s="191"/>
      <c r="D19" s="191"/>
      <c r="E19" s="191"/>
      <c r="F19" s="191"/>
      <c r="G19" s="191"/>
      <c r="H19" s="191"/>
      <c r="I19" s="191"/>
      <c r="J19" s="191"/>
    </row>
    <row r="20" spans="1:10" ht="44.5" x14ac:dyDescent="0.85">
      <c r="A20" s="191"/>
      <c r="B20" s="191"/>
      <c r="C20" s="191"/>
      <c r="D20" s="191"/>
      <c r="E20" s="191"/>
      <c r="F20" s="191"/>
      <c r="G20" s="191"/>
      <c r="H20" s="191"/>
      <c r="I20" s="191"/>
      <c r="J20" s="191"/>
    </row>
    <row r="21" spans="1:10" ht="44.5" x14ac:dyDescent="0.85">
      <c r="A21" s="191"/>
      <c r="B21" s="191"/>
      <c r="C21" s="191"/>
      <c r="D21" s="191"/>
      <c r="E21" s="191"/>
      <c r="F21" s="191"/>
      <c r="G21" s="191"/>
      <c r="H21" s="191"/>
      <c r="I21" s="191"/>
      <c r="J21" s="191"/>
    </row>
    <row r="22" spans="1:10" s="193" customFormat="1" ht="44.5" x14ac:dyDescent="0.85">
      <c r="A22" s="192"/>
      <c r="B22" s="192"/>
      <c r="C22" s="192"/>
      <c r="D22" s="192"/>
      <c r="E22" s="192"/>
      <c r="F22" s="192"/>
      <c r="G22" s="192"/>
      <c r="H22" s="192"/>
      <c r="I22" s="192"/>
      <c r="J22" s="192"/>
    </row>
  </sheetData>
  <sheetProtection selectLockedCells="1" selectUnlockedCells="1"/>
  <mergeCells count="5">
    <mergeCell ref="A1:J1"/>
    <mergeCell ref="A2:D2"/>
    <mergeCell ref="E2:F2"/>
    <mergeCell ref="G2:H2"/>
    <mergeCell ref="I2:J2"/>
  </mergeCells>
  <printOptions horizontalCentered="1" verticalCentered="1"/>
  <pageMargins left="0.31527777777777777" right="0.31527777777777777" top="1" bottom="1" header="0" footer="0.51180555555555551"/>
  <pageSetup paperSize="9" firstPageNumber="0" orientation="portrait" horizontalDpi="300" verticalDpi="300"/>
  <headerFooter alignWithMargins="0">
    <oddHeader>&amp;C&amp;A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Descripciones</vt:lpstr>
      <vt:lpstr>Estacas Hurd</vt:lpstr>
      <vt:lpstr>Estacas Hurd mto. </vt:lpstr>
      <vt:lpstr>Estacas Johnsons</vt:lpstr>
      <vt:lpstr>Estacas Johnsons mto.</vt:lpstr>
      <vt:lpstr>RED PUNTOS CONTROL</vt:lpstr>
      <vt:lpstr>CorrInclinSepult</vt:lpstr>
      <vt:lpstr>Estacas Campo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Unai Letamendia</dc:creator>
  <cp:keywords/>
  <dc:description/>
  <cp:lastModifiedBy>VALENTIN MAXIME DENIS</cp:lastModifiedBy>
  <cp:revision/>
  <dcterms:created xsi:type="dcterms:W3CDTF">2021-12-19T13:07:19Z</dcterms:created>
  <dcterms:modified xsi:type="dcterms:W3CDTF">2026-04-07T13:55:43Z</dcterms:modified>
  <cp:category/>
  <cp:contentStatus/>
</cp:coreProperties>
</file>